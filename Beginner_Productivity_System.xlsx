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BIT TRACKER" state="visible" r:id="rId4"/>
    <sheet sheetId="2" name="TASK &amp; WORK TRACKER" state="visible" r:id="rId5"/>
    <sheet sheetId="3" name="TIME LOG" state="visible" r:id="rId6"/>
    <sheet sheetId="4" name="GOALS - OKRs" state="visible" r:id="rId7"/>
    <sheet sheetId="5" name="WEEKLY &amp; MONTHLY DASHBOARD" state="visible" r:id="rId8"/>
    <sheet sheetId="6" name="PRODUCTIVITY SCORE" state="visible" r:id="rId9"/>
  </sheets>
  <calcPr calcId="171027"/>
</workbook>
</file>

<file path=xl/sharedStrings.xml><?xml version="1.0" encoding="utf-8"?>
<sst xmlns="http://schemas.openxmlformats.org/spreadsheetml/2006/main" count="104" uniqueCount="77">
  <si>
    <t>Habit Start Monday (date)</t>
  </si>
  <si>
    <t/>
  </si>
  <si>
    <t>Tip: After importing to Google Sheets, select the habit grid and use Insert → Checkbox.</t>
  </si>
  <si>
    <t>As-of day # (1–30)</t>
  </si>
  <si>
    <t>Week 1</t>
  </si>
  <si>
    <t>Week 2</t>
  </si>
  <si>
    <t>Week 3</t>
  </si>
  <si>
    <t>Week 4</t>
  </si>
  <si>
    <t>Week 5</t>
  </si>
  <si>
    <t>Week 6</t>
  </si>
  <si>
    <t>Habit</t>
  </si>
  <si>
    <t>Mon</t>
  </si>
  <si>
    <t>Tue</t>
  </si>
  <si>
    <t>Wed</t>
  </si>
  <si>
    <t>Thu</t>
  </si>
  <si>
    <t>Fri</t>
  </si>
  <si>
    <t>Month % (to-date)</t>
  </si>
  <si>
    <t>Current streak</t>
  </si>
  <si>
    <t>Wake up on time</t>
  </si>
  <si>
    <t>Plan the day (5 min)</t>
  </si>
  <si>
    <t>Deep work (30+ min)</t>
  </si>
  <si>
    <t>Exercise</t>
  </si>
  <si>
    <t>Healthy meal</t>
  </si>
  <si>
    <t>Drink water</t>
  </si>
  <si>
    <t>Read (10 min)</t>
  </si>
  <si>
    <t>Learn (15 min)</t>
  </si>
  <si>
    <t>Clean/tidy (5 min)</t>
  </si>
  <si>
    <t>Walk outside</t>
  </si>
  <si>
    <t>No social media before noon</t>
  </si>
  <si>
    <t>Journal (3 lines)</t>
  </si>
  <si>
    <t>Connect with someone</t>
  </si>
  <si>
    <t>Sleep routine</t>
  </si>
  <si>
    <t>Gratitude</t>
  </si>
  <si>
    <t>Daily completion %</t>
  </si>
  <si>
    <t>Notes</t>
  </si>
  <si>
    <t>1) Enter a Monday date in B1. 2) Set as-of day # in B2 (1–30). 3) Use checkboxes in Google Sheets.</t>
  </si>
  <si>
    <t>Task</t>
  </si>
  <si>
    <t>Category</t>
  </si>
  <si>
    <t>Priority</t>
  </si>
  <si>
    <t>Status</t>
  </si>
  <si>
    <t>Planned Week Start (Mon)</t>
  </si>
  <si>
    <t>Estimated (hrs)</t>
  </si>
  <si>
    <t>Actual (hrs)</t>
  </si>
  <si>
    <t>Time Efficiency</t>
  </si>
  <si>
    <t>Done Week Start</t>
  </si>
  <si>
    <t>Completion %</t>
  </si>
  <si>
    <t>Avg Efficiency</t>
  </si>
  <si>
    <t>Date</t>
  </si>
  <si>
    <t>Time spent (hrs)</t>
  </si>
  <si>
    <t>Tip: In Google Sheets, set column B to a dropdown from TASK &amp; WORK TRACKER!A2:A200.</t>
  </si>
  <si>
    <t>Goal</t>
  </si>
  <si>
    <t>Objective</t>
  </si>
  <si>
    <t>KR1 (%)</t>
  </si>
  <si>
    <t>KR2 (%)</t>
  </si>
  <si>
    <t>KR3 (%)</t>
  </si>
  <si>
    <t>Progress %</t>
  </si>
  <si>
    <t>View Start (Monday)</t>
  </si>
  <si>
    <t>As-of day #</t>
  </si>
  <si>
    <t>Week Start (Mon)</t>
  </si>
  <si>
    <t>Habit %</t>
  </si>
  <si>
    <t>Tasks Planned</t>
  </si>
  <si>
    <t>Tasks Done (planned)</t>
  </si>
  <si>
    <t>Productive Hours</t>
  </si>
  <si>
    <t>30-Day Habit % (to-date)</t>
  </si>
  <si>
    <t>Tasks Planned (30 days)</t>
  </si>
  <si>
    <t>Tasks Done (planned, 30 days)</t>
  </si>
  <si>
    <t>Productive Hours (30 days)</t>
  </si>
  <si>
    <t>Goal Progress %</t>
  </si>
  <si>
    <t>Component</t>
  </si>
  <si>
    <t>Score (0–100)</t>
  </si>
  <si>
    <t>Habits (40%)</t>
  </si>
  <si>
    <t>Tasks (30%)</t>
  </si>
  <si>
    <t>Time efficiency (20%)</t>
  </si>
  <si>
    <t>Goals (10%)</t>
  </si>
  <si>
    <t>Productivity Score (0–100)</t>
  </si>
  <si>
    <t>Plain-English formula</t>
  </si>
  <si>
    <t>Score = 40% habits + 30% tasks done + 20% time efficiency + 10% goal progress. Each part is converted to 0–100.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</si>
</sst>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"/>
  </numFmts>
  <fonts count="4" x14ac:knownFonts="1">
    <font>
      <color theme="1"/>
      <family val="2"/>
      <scheme val="minor"/>
      <sz val="11"/>
      <name val="Calibri"/>
    </font>
    <font>
      <i/>
      <color rgb="FF475569"/>
    </font>
    <font>
      <b/>
      <color rgb="FF0F172A"/>
    </font>
    <font>
      <color rgb="FF94A3B8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9" fontId="0" fillId="0" borderId="1" xfId="0" applyNumberFormat="1" applyBorder="1"/>
    <xf numFmtId="0" fontId="3" fillId="0" borderId="0" xfId="0" applyFont="1"/>
    <xf numFmtId="9" fontId="2" fillId="2" borderId="1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2" width="5.5" customWidth="1"/>
    <col min="33" max="33" width="3.2" customWidth="1"/>
    <col min="34" max="62" width="3.2" hidden="1" customWidth="1"/>
    <col min="63" max="63" width="9" hidden="1" customWidth="1"/>
    <col min="64" max="64" width="9" hidden="1" customWidth="1"/>
    <col min="65" max="65" width="9" hidden="1" customWidth="1"/>
  </cols>
  <sheetData>
    <row r="1" spans="1:4" x14ac:dyDescent="0.25">
      <c r="A1" t="s">
        <v>0</v>
      </c>
      <c r="B1" t="s">
        <v>1</v>
      </c>
      <c r="D1" s="1" t="s">
        <v>2</v>
      </c>
    </row>
    <row r="2" spans="1:2" x14ac:dyDescent="0.25">
      <c r="A2" t="s">
        <v>3</v>
      </c>
      <c r="B2">
        <v>30</v>
      </c>
    </row>
    <row r="3" spans="2:27" x14ac:dyDescent="0.25">
      <c r="B3" s="2" t="s">
        <v>4</v>
      </c>
      <c r="G3" s="2" t="s">
        <v>5</v>
      </c>
      <c r="L3" s="2" t="s">
        <v>6</v>
      </c>
      <c r="Q3" s="2" t="s">
        <v>7</v>
      </c>
      <c r="V3" s="2" t="s">
        <v>8</v>
      </c>
      <c r="AA3" s="2" t="s">
        <v>9</v>
      </c>
    </row>
    <row r="4" spans="1:31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11</v>
      </c>
      <c r="R4" s="2" t="s">
        <v>12</v>
      </c>
      <c r="S4" s="2" t="s">
        <v>13</v>
      </c>
      <c r="T4" s="2" t="s">
        <v>14</v>
      </c>
      <c r="U4" s="2" t="s">
        <v>15</v>
      </c>
      <c r="V4" s="2" t="s">
        <v>11</v>
      </c>
      <c r="W4" s="2" t="s">
        <v>12</v>
      </c>
      <c r="X4" s="2" t="s">
        <v>13</v>
      </c>
      <c r="Y4" s="2" t="s">
        <v>14</v>
      </c>
      <c r="Z4" s="2" t="s">
        <v>15</v>
      </c>
      <c r="AA4" s="2" t="s">
        <v>11</v>
      </c>
      <c r="AB4" s="2" t="s">
        <v>12</v>
      </c>
      <c r="AC4" s="2" t="s">
        <v>13</v>
      </c>
      <c r="AD4" s="2" t="s">
        <v>14</v>
      </c>
      <c r="AE4" s="2" t="s">
        <v>15</v>
      </c>
    </row>
    <row r="5" spans="2:33" x14ac:dyDescent="0.25">
      <c r="B5" s="3">
        <f>=$B$1</f>
      </c>
      <c r="C5" s="3">
        <f>=B5+1</f>
      </c>
      <c r="D5" s="3">
        <f>=C5+1</f>
      </c>
      <c r="E5" s="3">
        <f>=D5+1</f>
      </c>
      <c r="F5" s="3">
        <f>=E5+1</f>
      </c>
      <c r="G5" s="3">
        <f>=B5+7</f>
      </c>
      <c r="H5" s="3">
        <f>=G5+1</f>
      </c>
      <c r="I5" s="3">
        <f>=H5+1</f>
      </c>
      <c r="J5" s="3">
        <f>=I5+1</f>
      </c>
      <c r="K5" s="3">
        <f>=J5+1</f>
      </c>
      <c r="L5" s="3">
        <f>=G5+7</f>
      </c>
      <c r="M5" s="3">
        <f>=L5+1</f>
      </c>
      <c r="N5" s="3">
        <f>=M5+1</f>
      </c>
      <c r="O5" s="3">
        <f>=N5+1</f>
      </c>
      <c r="P5" s="3">
        <f>=O5+1</f>
      </c>
      <c r="Q5" s="3">
        <f>=L5+7</f>
      </c>
      <c r="R5" s="3">
        <f>=Q5+1</f>
      </c>
      <c r="S5" s="3">
        <f>=R5+1</f>
      </c>
      <c r="T5" s="3">
        <f>=S5+1</f>
      </c>
      <c r="U5" s="3">
        <f>=T5+1</f>
      </c>
      <c r="V5" s="3">
        <f>=Q5+7</f>
      </c>
      <c r="W5" s="3">
        <f>=V5+1</f>
      </c>
      <c r="X5" s="3">
        <f>=W5+1</f>
      </c>
      <c r="Y5" s="3">
        <f>=X5+1</f>
      </c>
      <c r="Z5" s="3">
        <f>=Y5+1</f>
      </c>
      <c r="AA5" s="3">
        <f>=V5+7</f>
      </c>
      <c r="AB5" s="3">
        <f>=AA5+1</f>
      </c>
      <c r="AC5" s="3">
        <f>=AB5+1</f>
      </c>
      <c r="AD5" s="3">
        <f>=AC5+1</f>
      </c>
      <c r="AE5" s="3">
        <f>=AD5+1</f>
      </c>
      <c r="AF5" s="2" t="s">
        <v>16</v>
      </c>
      <c r="AG5" s="2" t="s">
        <v>17</v>
      </c>
    </row>
    <row r="6" spans="1:63" x14ac:dyDescent="0.25">
      <c r="A6" s="4" t="s">
        <v>18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6">
        <f>=IF($A6="","",IF(COUNTIF($B6:$AE6,TRUE)+COUNTIF($B6:$AE6,FALSE)=0,"",SUM($B6:$AE6)/(COUNTIF($B6:$AE6,TRUE)+COUNTIF($B6:$AE6,FALSE))))</f>
      </c>
      <c r="AG6" s="4">
        <f>=IF($A6="","",SUM(IF($B$2=1,AH6,0),IF($B$2=2,AI6,0),IF($B$2=3,AJ6,0),IF($B$2=4,AK6,0),IF($B$2=5,AL6,0),IF($B$2=6,AM6,0),IF($B$2=7,AN6,0),IF($B$2=8,AO6,0),IF($B$2=9,AP6,0),IF($B$2=10,AQ6,0),IF($B$2=11,AR6,0),IF($B$2=12,AS6,0),IF($B$2=13,AT6,0),IF($B$2=14,AU6,0),IF($B$2=15,AV6,0),IF($B$2=16,AW6,0),IF($B$2=17,AX6,0),IF($B$2=18,AY6,0),IF($B$2=19,AZ6,0),IF($B$2=20,BA6,0),IF($B$2=21,BB6,0),IF($B$2=22,BC6,0),IF($B$2=23,BD6,0),IF($B$2=24,BE6,0),IF($B$2=25,BF6,0),IF($B$2=26,BG6,0),IF($B$2=27,BH6,0),IF($B$2=28,BI6,0),IF($B$2=29,BJ6,0),IF($B$2=30,BK6,0)))</f>
      </c>
      <c r="AH6" s="7">
        <f>=IF($A6="","",IF(B6=TRUE,1,0))</f>
      </c>
      <c r="AI6" s="7">
        <f>=IF($A6="","",IF(C6=TRUE,AH6+1,0))</f>
      </c>
      <c r="AJ6" s="7">
        <f>=IF($A6="","",IF(D6=TRUE,AI6+1,0))</f>
      </c>
      <c r="AK6" s="7">
        <f>=IF($A6="","",IF(E6=TRUE,AJ6+1,0))</f>
      </c>
      <c r="AL6" s="7">
        <f>=IF($A6="","",IF(F6=TRUE,AK6+1,0))</f>
      </c>
      <c r="AM6" s="7">
        <f>=IF($A6="","",IF(G6=TRUE,AL6+1,0))</f>
      </c>
      <c r="AN6" s="7">
        <f>=IF($A6="","",IF(H6=TRUE,AM6+1,0))</f>
      </c>
      <c r="AO6" s="7">
        <f>=IF($A6="","",IF(I6=TRUE,AN6+1,0))</f>
      </c>
      <c r="AP6" s="7">
        <f>=IF($A6="","",IF(J6=TRUE,AO6+1,0))</f>
      </c>
      <c r="AQ6" s="7">
        <f>=IF($A6="","",IF(K6=TRUE,AP6+1,0))</f>
      </c>
      <c r="AR6" s="7">
        <f>=IF($A6="","",IF(L6=TRUE,AQ6+1,0))</f>
      </c>
      <c r="AS6" s="7">
        <f>=IF($A6="","",IF(M6=TRUE,AR6+1,0))</f>
      </c>
      <c r="AT6" s="7">
        <f>=IF($A6="","",IF(N6=TRUE,AS6+1,0))</f>
      </c>
      <c r="AU6" s="7">
        <f>=IF($A6="","",IF(O6=TRUE,AT6+1,0))</f>
      </c>
      <c r="AV6" s="7">
        <f>=IF($A6="","",IF(P6=TRUE,AU6+1,0))</f>
      </c>
      <c r="AW6" s="7">
        <f>=IF($A6="","",IF(Q6=TRUE,AV6+1,0))</f>
      </c>
      <c r="AX6" s="7">
        <f>=IF($A6="","",IF(R6=TRUE,AW6+1,0))</f>
      </c>
      <c r="AY6" s="7">
        <f>=IF($A6="","",IF(S6=TRUE,AX6+1,0))</f>
      </c>
      <c r="AZ6" s="7">
        <f>=IF($A6="","",IF(T6=TRUE,AY6+1,0))</f>
      </c>
      <c r="BA6" s="7">
        <f>=IF($A6="","",IF(U6=TRUE,AZ6+1,0))</f>
      </c>
      <c r="BB6" s="7">
        <f>=IF($A6="","",IF(V6=TRUE,BA6+1,0))</f>
      </c>
      <c r="BC6" s="7">
        <f>=IF($A6="","",IF(W6=TRUE,BB6+1,0))</f>
      </c>
      <c r="BD6" s="7">
        <f>=IF($A6="","",IF(X6=TRUE,BC6+1,0))</f>
      </c>
      <c r="BE6" s="7">
        <f>=IF($A6="","",IF(Y6=TRUE,BD6+1,0))</f>
      </c>
      <c r="BF6" s="7">
        <f>=IF($A6="","",IF(Z6=TRUE,BE6+1,0))</f>
      </c>
      <c r="BG6" s="7">
        <f>=IF($A6="","",IF(AA6=TRUE,BF6+1,0))</f>
      </c>
      <c r="BH6" s="7">
        <f>=IF($A6="","",IF(AB6=TRUE,BG6+1,0))</f>
      </c>
      <c r="BI6" s="7">
        <f>=IF($A6="","",IF(AC6=TRUE,BH6+1,0))</f>
      </c>
      <c r="BJ6" s="7">
        <f>=IF($A6="","",IF(AD6=TRUE,BI6+1,0))</f>
      </c>
      <c r="BK6" s="7">
        <f>=IF($A6="","",IF(AE6=TRUE,BJ6+1,0))</f>
      </c>
    </row>
    <row r="7" spans="1:63" x14ac:dyDescent="0.25">
      <c r="A7" s="4" t="s">
        <v>19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6">
        <f>=IF($A7="","",IF(COUNTIF($B7:$AE7,TRUE)+COUNTIF($B7:$AE7,FALSE)=0,"",SUM($B7:$AE7)/(COUNTIF($B7:$AE7,TRUE)+COUNTIF($B7:$AE7,FALSE))))</f>
      </c>
      <c r="AG7" s="4">
        <f>=IF($A7="","",SUM(IF($B$2=1,AH7,0),IF($B$2=2,AI7,0),IF($B$2=3,AJ7,0),IF($B$2=4,AK7,0),IF($B$2=5,AL7,0),IF($B$2=6,AM7,0),IF($B$2=7,AN7,0),IF($B$2=8,AO7,0),IF($B$2=9,AP7,0),IF($B$2=10,AQ7,0),IF($B$2=11,AR7,0),IF($B$2=12,AS7,0),IF($B$2=13,AT7,0),IF($B$2=14,AU7,0),IF($B$2=15,AV7,0),IF($B$2=16,AW7,0),IF($B$2=17,AX7,0),IF($B$2=18,AY7,0),IF($B$2=19,AZ7,0),IF($B$2=20,BA7,0),IF($B$2=21,BB7,0),IF($B$2=22,BC7,0),IF($B$2=23,BD7,0),IF($B$2=24,BE7,0),IF($B$2=25,BF7,0),IF($B$2=26,BG7,0),IF($B$2=27,BH7,0),IF($B$2=28,BI7,0),IF($B$2=29,BJ7,0),IF($B$2=30,BK7,0)))</f>
      </c>
      <c r="AH7" s="7">
        <f>=IF($A7="","",IF(B7=TRUE,1,0))</f>
      </c>
      <c r="AI7" s="7">
        <f>=IF($A7="","",IF(C7=TRUE,AH7+1,0))</f>
      </c>
      <c r="AJ7" s="7">
        <f>=IF($A7="","",IF(D7=TRUE,AI7+1,0))</f>
      </c>
      <c r="AK7" s="7">
        <f>=IF($A7="","",IF(E7=TRUE,AJ7+1,0))</f>
      </c>
      <c r="AL7" s="7">
        <f>=IF($A7="","",IF(F7=TRUE,AK7+1,0))</f>
      </c>
      <c r="AM7" s="7">
        <f>=IF($A7="","",IF(G7=TRUE,AL7+1,0))</f>
      </c>
      <c r="AN7" s="7">
        <f>=IF($A7="","",IF(H7=TRUE,AM7+1,0))</f>
      </c>
      <c r="AO7" s="7">
        <f>=IF($A7="","",IF(I7=TRUE,AN7+1,0))</f>
      </c>
      <c r="AP7" s="7">
        <f>=IF($A7="","",IF(J7=TRUE,AO7+1,0))</f>
      </c>
      <c r="AQ7" s="7">
        <f>=IF($A7="","",IF(K7=TRUE,AP7+1,0))</f>
      </c>
      <c r="AR7" s="7">
        <f>=IF($A7="","",IF(L7=TRUE,AQ7+1,0))</f>
      </c>
      <c r="AS7" s="7">
        <f>=IF($A7="","",IF(M7=TRUE,AR7+1,0))</f>
      </c>
      <c r="AT7" s="7">
        <f>=IF($A7="","",IF(N7=TRUE,AS7+1,0))</f>
      </c>
      <c r="AU7" s="7">
        <f>=IF($A7="","",IF(O7=TRUE,AT7+1,0))</f>
      </c>
      <c r="AV7" s="7">
        <f>=IF($A7="","",IF(P7=TRUE,AU7+1,0))</f>
      </c>
      <c r="AW7" s="7">
        <f>=IF($A7="","",IF(Q7=TRUE,AV7+1,0))</f>
      </c>
      <c r="AX7" s="7">
        <f>=IF($A7="","",IF(R7=TRUE,AW7+1,0))</f>
      </c>
      <c r="AY7" s="7">
        <f>=IF($A7="","",IF(S7=TRUE,AX7+1,0))</f>
      </c>
      <c r="AZ7" s="7">
        <f>=IF($A7="","",IF(T7=TRUE,AY7+1,0))</f>
      </c>
      <c r="BA7" s="7">
        <f>=IF($A7="","",IF(U7=TRUE,AZ7+1,0))</f>
      </c>
      <c r="BB7" s="7">
        <f>=IF($A7="","",IF(V7=TRUE,BA7+1,0))</f>
      </c>
      <c r="BC7" s="7">
        <f>=IF($A7="","",IF(W7=TRUE,BB7+1,0))</f>
      </c>
      <c r="BD7" s="7">
        <f>=IF($A7="","",IF(X7=TRUE,BC7+1,0))</f>
      </c>
      <c r="BE7" s="7">
        <f>=IF($A7="","",IF(Y7=TRUE,BD7+1,0))</f>
      </c>
      <c r="BF7" s="7">
        <f>=IF($A7="","",IF(Z7=TRUE,BE7+1,0))</f>
      </c>
      <c r="BG7" s="7">
        <f>=IF($A7="","",IF(AA7=TRUE,BF7+1,0))</f>
      </c>
      <c r="BH7" s="7">
        <f>=IF($A7="","",IF(AB7=TRUE,BG7+1,0))</f>
      </c>
      <c r="BI7" s="7">
        <f>=IF($A7="","",IF(AC7=TRUE,BH7+1,0))</f>
      </c>
      <c r="BJ7" s="7">
        <f>=IF($A7="","",IF(AD7=TRUE,BI7+1,0))</f>
      </c>
      <c r="BK7" s="7">
        <f>=IF($A7="","",IF(AE7=TRUE,BJ7+1,0))</f>
      </c>
    </row>
    <row r="8" spans="1:63" x14ac:dyDescent="0.25">
      <c r="A8" s="4" t="s">
        <v>20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6">
        <f>=IF($A8="","",IF(COUNTIF($B8:$AE8,TRUE)+COUNTIF($B8:$AE8,FALSE)=0,"",SUM($B8:$AE8)/(COUNTIF($B8:$AE8,TRUE)+COUNTIF($B8:$AE8,FALSE))))</f>
      </c>
      <c r="AG8" s="4">
        <f>=IF($A8="","",SUM(IF($B$2=1,AH8,0),IF($B$2=2,AI8,0),IF($B$2=3,AJ8,0),IF($B$2=4,AK8,0),IF($B$2=5,AL8,0),IF($B$2=6,AM8,0),IF($B$2=7,AN8,0),IF($B$2=8,AO8,0),IF($B$2=9,AP8,0),IF($B$2=10,AQ8,0),IF($B$2=11,AR8,0),IF($B$2=12,AS8,0),IF($B$2=13,AT8,0),IF($B$2=14,AU8,0),IF($B$2=15,AV8,0),IF($B$2=16,AW8,0),IF($B$2=17,AX8,0),IF($B$2=18,AY8,0),IF($B$2=19,AZ8,0),IF($B$2=20,BA8,0),IF($B$2=21,BB8,0),IF($B$2=22,BC8,0),IF($B$2=23,BD8,0),IF($B$2=24,BE8,0),IF($B$2=25,BF8,0),IF($B$2=26,BG8,0),IF($B$2=27,BH8,0),IF($B$2=28,BI8,0),IF($B$2=29,BJ8,0),IF($B$2=30,BK8,0)))</f>
      </c>
      <c r="AH8" s="7">
        <f>=IF($A8="","",IF(B8=TRUE,1,0))</f>
      </c>
      <c r="AI8" s="7">
        <f>=IF($A8="","",IF(C8=TRUE,AH8+1,0))</f>
      </c>
      <c r="AJ8" s="7">
        <f>=IF($A8="","",IF(D8=TRUE,AI8+1,0))</f>
      </c>
      <c r="AK8" s="7">
        <f>=IF($A8="","",IF(E8=TRUE,AJ8+1,0))</f>
      </c>
      <c r="AL8" s="7">
        <f>=IF($A8="","",IF(F8=TRUE,AK8+1,0))</f>
      </c>
      <c r="AM8" s="7">
        <f>=IF($A8="","",IF(G8=TRUE,AL8+1,0))</f>
      </c>
      <c r="AN8" s="7">
        <f>=IF($A8="","",IF(H8=TRUE,AM8+1,0))</f>
      </c>
      <c r="AO8" s="7">
        <f>=IF($A8="","",IF(I8=TRUE,AN8+1,0))</f>
      </c>
      <c r="AP8" s="7">
        <f>=IF($A8="","",IF(J8=TRUE,AO8+1,0))</f>
      </c>
      <c r="AQ8" s="7">
        <f>=IF($A8="","",IF(K8=TRUE,AP8+1,0))</f>
      </c>
      <c r="AR8" s="7">
        <f>=IF($A8="","",IF(L8=TRUE,AQ8+1,0))</f>
      </c>
      <c r="AS8" s="7">
        <f>=IF($A8="","",IF(M8=TRUE,AR8+1,0))</f>
      </c>
      <c r="AT8" s="7">
        <f>=IF($A8="","",IF(N8=TRUE,AS8+1,0))</f>
      </c>
      <c r="AU8" s="7">
        <f>=IF($A8="","",IF(O8=TRUE,AT8+1,0))</f>
      </c>
      <c r="AV8" s="7">
        <f>=IF($A8="","",IF(P8=TRUE,AU8+1,0))</f>
      </c>
      <c r="AW8" s="7">
        <f>=IF($A8="","",IF(Q8=TRUE,AV8+1,0))</f>
      </c>
      <c r="AX8" s="7">
        <f>=IF($A8="","",IF(R8=TRUE,AW8+1,0))</f>
      </c>
      <c r="AY8" s="7">
        <f>=IF($A8="","",IF(S8=TRUE,AX8+1,0))</f>
      </c>
      <c r="AZ8" s="7">
        <f>=IF($A8="","",IF(T8=TRUE,AY8+1,0))</f>
      </c>
      <c r="BA8" s="7">
        <f>=IF($A8="","",IF(U8=TRUE,AZ8+1,0))</f>
      </c>
      <c r="BB8" s="7">
        <f>=IF($A8="","",IF(V8=TRUE,BA8+1,0))</f>
      </c>
      <c r="BC8" s="7">
        <f>=IF($A8="","",IF(W8=TRUE,BB8+1,0))</f>
      </c>
      <c r="BD8" s="7">
        <f>=IF($A8="","",IF(X8=TRUE,BC8+1,0))</f>
      </c>
      <c r="BE8" s="7">
        <f>=IF($A8="","",IF(Y8=TRUE,BD8+1,0))</f>
      </c>
      <c r="BF8" s="7">
        <f>=IF($A8="","",IF(Z8=TRUE,BE8+1,0))</f>
      </c>
      <c r="BG8" s="7">
        <f>=IF($A8="","",IF(AA8=TRUE,BF8+1,0))</f>
      </c>
      <c r="BH8" s="7">
        <f>=IF($A8="","",IF(AB8=TRUE,BG8+1,0))</f>
      </c>
      <c r="BI8" s="7">
        <f>=IF($A8="","",IF(AC8=TRUE,BH8+1,0))</f>
      </c>
      <c r="BJ8" s="7">
        <f>=IF($A8="","",IF(AD8=TRUE,BI8+1,0))</f>
      </c>
      <c r="BK8" s="7">
        <f>=IF($A8="","",IF(AE8=TRUE,BJ8+1,0))</f>
      </c>
    </row>
    <row r="9" spans="1:63" x14ac:dyDescent="0.25">
      <c r="A9" s="4" t="s">
        <v>21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6">
        <f>=IF($A9="","",IF(COUNTIF($B9:$AE9,TRUE)+COUNTIF($B9:$AE9,FALSE)=0,"",SUM($B9:$AE9)/(COUNTIF($B9:$AE9,TRUE)+COUNTIF($B9:$AE9,FALSE))))</f>
      </c>
      <c r="AG9" s="4">
        <f>=IF($A9="","",SUM(IF($B$2=1,AH9,0),IF($B$2=2,AI9,0),IF($B$2=3,AJ9,0),IF($B$2=4,AK9,0),IF($B$2=5,AL9,0),IF($B$2=6,AM9,0),IF($B$2=7,AN9,0),IF($B$2=8,AO9,0),IF($B$2=9,AP9,0),IF($B$2=10,AQ9,0),IF($B$2=11,AR9,0),IF($B$2=12,AS9,0),IF($B$2=13,AT9,0),IF($B$2=14,AU9,0),IF($B$2=15,AV9,0),IF($B$2=16,AW9,0),IF($B$2=17,AX9,0),IF($B$2=18,AY9,0),IF($B$2=19,AZ9,0),IF($B$2=20,BA9,0),IF($B$2=21,BB9,0),IF($B$2=22,BC9,0),IF($B$2=23,BD9,0),IF($B$2=24,BE9,0),IF($B$2=25,BF9,0),IF($B$2=26,BG9,0),IF($B$2=27,BH9,0),IF($B$2=28,BI9,0),IF($B$2=29,BJ9,0),IF($B$2=30,BK9,0)))</f>
      </c>
      <c r="AH9" s="7">
        <f>=IF($A9="","",IF(B9=TRUE,1,0))</f>
      </c>
      <c r="AI9" s="7">
        <f>=IF($A9="","",IF(C9=TRUE,AH9+1,0))</f>
      </c>
      <c r="AJ9" s="7">
        <f>=IF($A9="","",IF(D9=TRUE,AI9+1,0))</f>
      </c>
      <c r="AK9" s="7">
        <f>=IF($A9="","",IF(E9=TRUE,AJ9+1,0))</f>
      </c>
      <c r="AL9" s="7">
        <f>=IF($A9="","",IF(F9=TRUE,AK9+1,0))</f>
      </c>
      <c r="AM9" s="7">
        <f>=IF($A9="","",IF(G9=TRUE,AL9+1,0))</f>
      </c>
      <c r="AN9" s="7">
        <f>=IF($A9="","",IF(H9=TRUE,AM9+1,0))</f>
      </c>
      <c r="AO9" s="7">
        <f>=IF($A9="","",IF(I9=TRUE,AN9+1,0))</f>
      </c>
      <c r="AP9" s="7">
        <f>=IF($A9="","",IF(J9=TRUE,AO9+1,0))</f>
      </c>
      <c r="AQ9" s="7">
        <f>=IF($A9="","",IF(K9=TRUE,AP9+1,0))</f>
      </c>
      <c r="AR9" s="7">
        <f>=IF($A9="","",IF(L9=TRUE,AQ9+1,0))</f>
      </c>
      <c r="AS9" s="7">
        <f>=IF($A9="","",IF(M9=TRUE,AR9+1,0))</f>
      </c>
      <c r="AT9" s="7">
        <f>=IF($A9="","",IF(N9=TRUE,AS9+1,0))</f>
      </c>
      <c r="AU9" s="7">
        <f>=IF($A9="","",IF(O9=TRUE,AT9+1,0))</f>
      </c>
      <c r="AV9" s="7">
        <f>=IF($A9="","",IF(P9=TRUE,AU9+1,0))</f>
      </c>
      <c r="AW9" s="7">
        <f>=IF($A9="","",IF(Q9=TRUE,AV9+1,0))</f>
      </c>
      <c r="AX9" s="7">
        <f>=IF($A9="","",IF(R9=TRUE,AW9+1,0))</f>
      </c>
      <c r="AY9" s="7">
        <f>=IF($A9="","",IF(S9=TRUE,AX9+1,0))</f>
      </c>
      <c r="AZ9" s="7">
        <f>=IF($A9="","",IF(T9=TRUE,AY9+1,0))</f>
      </c>
      <c r="BA9" s="7">
        <f>=IF($A9="","",IF(U9=TRUE,AZ9+1,0))</f>
      </c>
      <c r="BB9" s="7">
        <f>=IF($A9="","",IF(V9=TRUE,BA9+1,0))</f>
      </c>
      <c r="BC9" s="7">
        <f>=IF($A9="","",IF(W9=TRUE,BB9+1,0))</f>
      </c>
      <c r="BD9" s="7">
        <f>=IF($A9="","",IF(X9=TRUE,BC9+1,0))</f>
      </c>
      <c r="BE9" s="7">
        <f>=IF($A9="","",IF(Y9=TRUE,BD9+1,0))</f>
      </c>
      <c r="BF9" s="7">
        <f>=IF($A9="","",IF(Z9=TRUE,BE9+1,0))</f>
      </c>
      <c r="BG9" s="7">
        <f>=IF($A9="","",IF(AA9=TRUE,BF9+1,0))</f>
      </c>
      <c r="BH9" s="7">
        <f>=IF($A9="","",IF(AB9=TRUE,BG9+1,0))</f>
      </c>
      <c r="BI9" s="7">
        <f>=IF($A9="","",IF(AC9=TRUE,BH9+1,0))</f>
      </c>
      <c r="BJ9" s="7">
        <f>=IF($A9="","",IF(AD9=TRUE,BI9+1,0))</f>
      </c>
      <c r="BK9" s="7">
        <f>=IF($A9="","",IF(AE9=TRUE,BJ9+1,0))</f>
      </c>
    </row>
    <row r="10" spans="1:63" x14ac:dyDescent="0.25">
      <c r="A10" s="4" t="s">
        <v>22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6">
        <f>=IF($A10="","",IF(COUNTIF($B10:$AE10,TRUE)+COUNTIF($B10:$AE10,FALSE)=0,"",SUM($B10:$AE10)/(COUNTIF($B10:$AE10,TRUE)+COUNTIF($B10:$AE10,FALSE))))</f>
      </c>
      <c r="AG10" s="4">
        <f>=IF($A10="","",SUM(IF($B$2=1,AH10,0),IF($B$2=2,AI10,0),IF($B$2=3,AJ10,0),IF($B$2=4,AK10,0),IF($B$2=5,AL10,0),IF($B$2=6,AM10,0),IF($B$2=7,AN10,0),IF($B$2=8,AO10,0),IF($B$2=9,AP10,0),IF($B$2=10,AQ10,0),IF($B$2=11,AR10,0),IF($B$2=12,AS10,0),IF($B$2=13,AT10,0),IF($B$2=14,AU10,0),IF($B$2=15,AV10,0),IF($B$2=16,AW10,0),IF($B$2=17,AX10,0),IF($B$2=18,AY10,0),IF($B$2=19,AZ10,0),IF($B$2=20,BA10,0),IF($B$2=21,BB10,0),IF($B$2=22,BC10,0),IF($B$2=23,BD10,0),IF($B$2=24,BE10,0),IF($B$2=25,BF10,0),IF($B$2=26,BG10,0),IF($B$2=27,BH10,0),IF($B$2=28,BI10,0),IF($B$2=29,BJ10,0),IF($B$2=30,BK10,0)))</f>
      </c>
      <c r="AH10" s="7">
        <f>=IF($A10="","",IF(B10=TRUE,1,0))</f>
      </c>
      <c r="AI10" s="7">
        <f>=IF($A10="","",IF(C10=TRUE,AH10+1,0))</f>
      </c>
      <c r="AJ10" s="7">
        <f>=IF($A10="","",IF(D10=TRUE,AI10+1,0))</f>
      </c>
      <c r="AK10" s="7">
        <f>=IF($A10="","",IF(E10=TRUE,AJ10+1,0))</f>
      </c>
      <c r="AL10" s="7">
        <f>=IF($A10="","",IF(F10=TRUE,AK10+1,0))</f>
      </c>
      <c r="AM10" s="7">
        <f>=IF($A10="","",IF(G10=TRUE,AL10+1,0))</f>
      </c>
      <c r="AN10" s="7">
        <f>=IF($A10="","",IF(H10=TRUE,AM10+1,0))</f>
      </c>
      <c r="AO10" s="7">
        <f>=IF($A10="","",IF(I10=TRUE,AN10+1,0))</f>
      </c>
      <c r="AP10" s="7">
        <f>=IF($A10="","",IF(J10=TRUE,AO10+1,0))</f>
      </c>
      <c r="AQ10" s="7">
        <f>=IF($A10="","",IF(K10=TRUE,AP10+1,0))</f>
      </c>
      <c r="AR10" s="7">
        <f>=IF($A10="","",IF(L10=TRUE,AQ10+1,0))</f>
      </c>
      <c r="AS10" s="7">
        <f>=IF($A10="","",IF(M10=TRUE,AR10+1,0))</f>
      </c>
      <c r="AT10" s="7">
        <f>=IF($A10="","",IF(N10=TRUE,AS10+1,0))</f>
      </c>
      <c r="AU10" s="7">
        <f>=IF($A10="","",IF(O10=TRUE,AT10+1,0))</f>
      </c>
      <c r="AV10" s="7">
        <f>=IF($A10="","",IF(P10=TRUE,AU10+1,0))</f>
      </c>
      <c r="AW10" s="7">
        <f>=IF($A10="","",IF(Q10=TRUE,AV10+1,0))</f>
      </c>
      <c r="AX10" s="7">
        <f>=IF($A10="","",IF(R10=TRUE,AW10+1,0))</f>
      </c>
      <c r="AY10" s="7">
        <f>=IF($A10="","",IF(S10=TRUE,AX10+1,0))</f>
      </c>
      <c r="AZ10" s="7">
        <f>=IF($A10="","",IF(T10=TRUE,AY10+1,0))</f>
      </c>
      <c r="BA10" s="7">
        <f>=IF($A10="","",IF(U10=TRUE,AZ10+1,0))</f>
      </c>
      <c r="BB10" s="7">
        <f>=IF($A10="","",IF(V10=TRUE,BA10+1,0))</f>
      </c>
      <c r="BC10" s="7">
        <f>=IF($A10="","",IF(W10=TRUE,BB10+1,0))</f>
      </c>
      <c r="BD10" s="7">
        <f>=IF($A10="","",IF(X10=TRUE,BC10+1,0))</f>
      </c>
      <c r="BE10" s="7">
        <f>=IF($A10="","",IF(Y10=TRUE,BD10+1,0))</f>
      </c>
      <c r="BF10" s="7">
        <f>=IF($A10="","",IF(Z10=TRUE,BE10+1,0))</f>
      </c>
      <c r="BG10" s="7">
        <f>=IF($A10="","",IF(AA10=TRUE,BF10+1,0))</f>
      </c>
      <c r="BH10" s="7">
        <f>=IF($A10="","",IF(AB10=TRUE,BG10+1,0))</f>
      </c>
      <c r="BI10" s="7">
        <f>=IF($A10="","",IF(AC10=TRUE,BH10+1,0))</f>
      </c>
      <c r="BJ10" s="7">
        <f>=IF($A10="","",IF(AD10=TRUE,BI10+1,0))</f>
      </c>
      <c r="BK10" s="7">
        <f>=IF($A10="","",IF(AE10=TRUE,BJ10+1,0))</f>
      </c>
    </row>
    <row r="11" spans="1:63" x14ac:dyDescent="0.25">
      <c r="A11" s="4" t="s">
        <v>23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6">
        <f>=IF($A11="","",IF(COUNTIF($B11:$AE11,TRUE)+COUNTIF($B11:$AE11,FALSE)=0,"",SUM($B11:$AE11)/(COUNTIF($B11:$AE11,TRUE)+COUNTIF($B11:$AE11,FALSE))))</f>
      </c>
      <c r="AG11" s="4">
        <f>=IF($A11="","",SUM(IF($B$2=1,AH11,0),IF($B$2=2,AI11,0),IF($B$2=3,AJ11,0),IF($B$2=4,AK11,0),IF($B$2=5,AL11,0),IF($B$2=6,AM11,0),IF($B$2=7,AN11,0),IF($B$2=8,AO11,0),IF($B$2=9,AP11,0),IF($B$2=10,AQ11,0),IF($B$2=11,AR11,0),IF($B$2=12,AS11,0),IF($B$2=13,AT11,0),IF($B$2=14,AU11,0),IF($B$2=15,AV11,0),IF($B$2=16,AW11,0),IF($B$2=17,AX11,0),IF($B$2=18,AY11,0),IF($B$2=19,AZ11,0),IF($B$2=20,BA11,0),IF($B$2=21,BB11,0),IF($B$2=22,BC11,0),IF($B$2=23,BD11,0),IF($B$2=24,BE11,0),IF($B$2=25,BF11,0),IF($B$2=26,BG11,0),IF($B$2=27,BH11,0),IF($B$2=28,BI11,0),IF($B$2=29,BJ11,0),IF($B$2=30,BK11,0)))</f>
      </c>
      <c r="AH11" s="7">
        <f>=IF($A11="","",IF(B11=TRUE,1,0))</f>
      </c>
      <c r="AI11" s="7">
        <f>=IF($A11="","",IF(C11=TRUE,AH11+1,0))</f>
      </c>
      <c r="AJ11" s="7">
        <f>=IF($A11="","",IF(D11=TRUE,AI11+1,0))</f>
      </c>
      <c r="AK11" s="7">
        <f>=IF($A11="","",IF(E11=TRUE,AJ11+1,0))</f>
      </c>
      <c r="AL11" s="7">
        <f>=IF($A11="","",IF(F11=TRUE,AK11+1,0))</f>
      </c>
      <c r="AM11" s="7">
        <f>=IF($A11="","",IF(G11=TRUE,AL11+1,0))</f>
      </c>
      <c r="AN11" s="7">
        <f>=IF($A11="","",IF(H11=TRUE,AM11+1,0))</f>
      </c>
      <c r="AO11" s="7">
        <f>=IF($A11="","",IF(I11=TRUE,AN11+1,0))</f>
      </c>
      <c r="AP11" s="7">
        <f>=IF($A11="","",IF(J11=TRUE,AO11+1,0))</f>
      </c>
      <c r="AQ11" s="7">
        <f>=IF($A11="","",IF(K11=TRUE,AP11+1,0))</f>
      </c>
      <c r="AR11" s="7">
        <f>=IF($A11="","",IF(L11=TRUE,AQ11+1,0))</f>
      </c>
      <c r="AS11" s="7">
        <f>=IF($A11="","",IF(M11=TRUE,AR11+1,0))</f>
      </c>
      <c r="AT11" s="7">
        <f>=IF($A11="","",IF(N11=TRUE,AS11+1,0))</f>
      </c>
      <c r="AU11" s="7">
        <f>=IF($A11="","",IF(O11=TRUE,AT11+1,0))</f>
      </c>
      <c r="AV11" s="7">
        <f>=IF($A11="","",IF(P11=TRUE,AU11+1,0))</f>
      </c>
      <c r="AW11" s="7">
        <f>=IF($A11="","",IF(Q11=TRUE,AV11+1,0))</f>
      </c>
      <c r="AX11" s="7">
        <f>=IF($A11="","",IF(R11=TRUE,AW11+1,0))</f>
      </c>
      <c r="AY11" s="7">
        <f>=IF($A11="","",IF(S11=TRUE,AX11+1,0))</f>
      </c>
      <c r="AZ11" s="7">
        <f>=IF($A11="","",IF(T11=TRUE,AY11+1,0))</f>
      </c>
      <c r="BA11" s="7">
        <f>=IF($A11="","",IF(U11=TRUE,AZ11+1,0))</f>
      </c>
      <c r="BB11" s="7">
        <f>=IF($A11="","",IF(V11=TRUE,BA11+1,0))</f>
      </c>
      <c r="BC11" s="7">
        <f>=IF($A11="","",IF(W11=TRUE,BB11+1,0))</f>
      </c>
      <c r="BD11" s="7">
        <f>=IF($A11="","",IF(X11=TRUE,BC11+1,0))</f>
      </c>
      <c r="BE11" s="7">
        <f>=IF($A11="","",IF(Y11=TRUE,BD11+1,0))</f>
      </c>
      <c r="BF11" s="7">
        <f>=IF($A11="","",IF(Z11=TRUE,BE11+1,0))</f>
      </c>
      <c r="BG11" s="7">
        <f>=IF($A11="","",IF(AA11=TRUE,BF11+1,0))</f>
      </c>
      <c r="BH11" s="7">
        <f>=IF($A11="","",IF(AB11=TRUE,BG11+1,0))</f>
      </c>
      <c r="BI11" s="7">
        <f>=IF($A11="","",IF(AC11=TRUE,BH11+1,0))</f>
      </c>
      <c r="BJ11" s="7">
        <f>=IF($A11="","",IF(AD11=TRUE,BI11+1,0))</f>
      </c>
      <c r="BK11" s="7">
        <f>=IF($A11="","",IF(AE11=TRUE,BJ11+1,0))</f>
      </c>
    </row>
    <row r="12" spans="1:63" x14ac:dyDescent="0.25">
      <c r="A12" s="4" t="s">
        <v>24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6">
        <f>=IF($A12="","",IF(COUNTIF($B12:$AE12,TRUE)+COUNTIF($B12:$AE12,FALSE)=0,"",SUM($B12:$AE12)/(COUNTIF($B12:$AE12,TRUE)+COUNTIF($B12:$AE12,FALSE))))</f>
      </c>
      <c r="AG12" s="4">
        <f>=IF($A12="","",SUM(IF($B$2=1,AH12,0),IF($B$2=2,AI12,0),IF($B$2=3,AJ12,0),IF($B$2=4,AK12,0),IF($B$2=5,AL12,0),IF($B$2=6,AM12,0),IF($B$2=7,AN12,0),IF($B$2=8,AO12,0),IF($B$2=9,AP12,0),IF($B$2=10,AQ12,0),IF($B$2=11,AR12,0),IF($B$2=12,AS12,0),IF($B$2=13,AT12,0),IF($B$2=14,AU12,0),IF($B$2=15,AV12,0),IF($B$2=16,AW12,0),IF($B$2=17,AX12,0),IF($B$2=18,AY12,0),IF($B$2=19,AZ12,0),IF($B$2=20,BA12,0),IF($B$2=21,BB12,0),IF($B$2=22,BC12,0),IF($B$2=23,BD12,0),IF($B$2=24,BE12,0),IF($B$2=25,BF12,0),IF($B$2=26,BG12,0),IF($B$2=27,BH12,0),IF($B$2=28,BI12,0),IF($B$2=29,BJ12,0),IF($B$2=30,BK12,0)))</f>
      </c>
      <c r="AH12" s="7">
        <f>=IF($A12="","",IF(B12=TRUE,1,0))</f>
      </c>
      <c r="AI12" s="7">
        <f>=IF($A12="","",IF(C12=TRUE,AH12+1,0))</f>
      </c>
      <c r="AJ12" s="7">
        <f>=IF($A12="","",IF(D12=TRUE,AI12+1,0))</f>
      </c>
      <c r="AK12" s="7">
        <f>=IF($A12="","",IF(E12=TRUE,AJ12+1,0))</f>
      </c>
      <c r="AL12" s="7">
        <f>=IF($A12="","",IF(F12=TRUE,AK12+1,0))</f>
      </c>
      <c r="AM12" s="7">
        <f>=IF($A12="","",IF(G12=TRUE,AL12+1,0))</f>
      </c>
      <c r="AN12" s="7">
        <f>=IF($A12="","",IF(H12=TRUE,AM12+1,0))</f>
      </c>
      <c r="AO12" s="7">
        <f>=IF($A12="","",IF(I12=TRUE,AN12+1,0))</f>
      </c>
      <c r="AP12" s="7">
        <f>=IF($A12="","",IF(J12=TRUE,AO12+1,0))</f>
      </c>
      <c r="AQ12" s="7">
        <f>=IF($A12="","",IF(K12=TRUE,AP12+1,0))</f>
      </c>
      <c r="AR12" s="7">
        <f>=IF($A12="","",IF(L12=TRUE,AQ12+1,0))</f>
      </c>
      <c r="AS12" s="7">
        <f>=IF($A12="","",IF(M12=TRUE,AR12+1,0))</f>
      </c>
      <c r="AT12" s="7">
        <f>=IF($A12="","",IF(N12=TRUE,AS12+1,0))</f>
      </c>
      <c r="AU12" s="7">
        <f>=IF($A12="","",IF(O12=TRUE,AT12+1,0))</f>
      </c>
      <c r="AV12" s="7">
        <f>=IF($A12="","",IF(P12=TRUE,AU12+1,0))</f>
      </c>
      <c r="AW12" s="7">
        <f>=IF($A12="","",IF(Q12=TRUE,AV12+1,0))</f>
      </c>
      <c r="AX12" s="7">
        <f>=IF($A12="","",IF(R12=TRUE,AW12+1,0))</f>
      </c>
      <c r="AY12" s="7">
        <f>=IF($A12="","",IF(S12=TRUE,AX12+1,0))</f>
      </c>
      <c r="AZ12" s="7">
        <f>=IF($A12="","",IF(T12=TRUE,AY12+1,0))</f>
      </c>
      <c r="BA12" s="7">
        <f>=IF($A12="","",IF(U12=TRUE,AZ12+1,0))</f>
      </c>
      <c r="BB12" s="7">
        <f>=IF($A12="","",IF(V12=TRUE,BA12+1,0))</f>
      </c>
      <c r="BC12" s="7">
        <f>=IF($A12="","",IF(W12=TRUE,BB12+1,0))</f>
      </c>
      <c r="BD12" s="7">
        <f>=IF($A12="","",IF(X12=TRUE,BC12+1,0))</f>
      </c>
      <c r="BE12" s="7">
        <f>=IF($A12="","",IF(Y12=TRUE,BD12+1,0))</f>
      </c>
      <c r="BF12" s="7">
        <f>=IF($A12="","",IF(Z12=TRUE,BE12+1,0))</f>
      </c>
      <c r="BG12" s="7">
        <f>=IF($A12="","",IF(AA12=TRUE,BF12+1,0))</f>
      </c>
      <c r="BH12" s="7">
        <f>=IF($A12="","",IF(AB12=TRUE,BG12+1,0))</f>
      </c>
      <c r="BI12" s="7">
        <f>=IF($A12="","",IF(AC12=TRUE,BH12+1,0))</f>
      </c>
      <c r="BJ12" s="7">
        <f>=IF($A12="","",IF(AD12=TRUE,BI12+1,0))</f>
      </c>
      <c r="BK12" s="7">
        <f>=IF($A12="","",IF(AE12=TRUE,BJ12+1,0))</f>
      </c>
    </row>
    <row r="13" spans="1:63" x14ac:dyDescent="0.25">
      <c r="A13" s="4" t="s">
        <v>25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6">
        <f>=IF($A13="","",IF(COUNTIF($B13:$AE13,TRUE)+COUNTIF($B13:$AE13,FALSE)=0,"",SUM($B13:$AE13)/(COUNTIF($B13:$AE13,TRUE)+COUNTIF($B13:$AE13,FALSE))))</f>
      </c>
      <c r="AG13" s="4">
        <f>=IF($A13="","",SUM(IF($B$2=1,AH13,0),IF($B$2=2,AI13,0),IF($B$2=3,AJ13,0),IF($B$2=4,AK13,0),IF($B$2=5,AL13,0),IF($B$2=6,AM13,0),IF($B$2=7,AN13,0),IF($B$2=8,AO13,0),IF($B$2=9,AP13,0),IF($B$2=10,AQ13,0),IF($B$2=11,AR13,0),IF($B$2=12,AS13,0),IF($B$2=13,AT13,0),IF($B$2=14,AU13,0),IF($B$2=15,AV13,0),IF($B$2=16,AW13,0),IF($B$2=17,AX13,0),IF($B$2=18,AY13,0),IF($B$2=19,AZ13,0),IF($B$2=20,BA13,0),IF($B$2=21,BB13,0),IF($B$2=22,BC13,0),IF($B$2=23,BD13,0),IF($B$2=24,BE13,0),IF($B$2=25,BF13,0),IF($B$2=26,BG13,0),IF($B$2=27,BH13,0),IF($B$2=28,BI13,0),IF($B$2=29,BJ13,0),IF($B$2=30,BK13,0)))</f>
      </c>
      <c r="AH13" s="7">
        <f>=IF($A13="","",IF(B13=TRUE,1,0))</f>
      </c>
      <c r="AI13" s="7">
        <f>=IF($A13="","",IF(C13=TRUE,AH13+1,0))</f>
      </c>
      <c r="AJ13" s="7">
        <f>=IF($A13="","",IF(D13=TRUE,AI13+1,0))</f>
      </c>
      <c r="AK13" s="7">
        <f>=IF($A13="","",IF(E13=TRUE,AJ13+1,0))</f>
      </c>
      <c r="AL13" s="7">
        <f>=IF($A13="","",IF(F13=TRUE,AK13+1,0))</f>
      </c>
      <c r="AM13" s="7">
        <f>=IF($A13="","",IF(G13=TRUE,AL13+1,0))</f>
      </c>
      <c r="AN13" s="7">
        <f>=IF($A13="","",IF(H13=TRUE,AM13+1,0))</f>
      </c>
      <c r="AO13" s="7">
        <f>=IF($A13="","",IF(I13=TRUE,AN13+1,0))</f>
      </c>
      <c r="AP13" s="7">
        <f>=IF($A13="","",IF(J13=TRUE,AO13+1,0))</f>
      </c>
      <c r="AQ13" s="7">
        <f>=IF($A13="","",IF(K13=TRUE,AP13+1,0))</f>
      </c>
      <c r="AR13" s="7">
        <f>=IF($A13="","",IF(L13=TRUE,AQ13+1,0))</f>
      </c>
      <c r="AS13" s="7">
        <f>=IF($A13="","",IF(M13=TRUE,AR13+1,0))</f>
      </c>
      <c r="AT13" s="7">
        <f>=IF($A13="","",IF(N13=TRUE,AS13+1,0))</f>
      </c>
      <c r="AU13" s="7">
        <f>=IF($A13="","",IF(O13=TRUE,AT13+1,0))</f>
      </c>
      <c r="AV13" s="7">
        <f>=IF($A13="","",IF(P13=TRUE,AU13+1,0))</f>
      </c>
      <c r="AW13" s="7">
        <f>=IF($A13="","",IF(Q13=TRUE,AV13+1,0))</f>
      </c>
      <c r="AX13" s="7">
        <f>=IF($A13="","",IF(R13=TRUE,AW13+1,0))</f>
      </c>
      <c r="AY13" s="7">
        <f>=IF($A13="","",IF(S13=TRUE,AX13+1,0))</f>
      </c>
      <c r="AZ13" s="7">
        <f>=IF($A13="","",IF(T13=TRUE,AY13+1,0))</f>
      </c>
      <c r="BA13" s="7">
        <f>=IF($A13="","",IF(U13=TRUE,AZ13+1,0))</f>
      </c>
      <c r="BB13" s="7">
        <f>=IF($A13="","",IF(V13=TRUE,BA13+1,0))</f>
      </c>
      <c r="BC13" s="7">
        <f>=IF($A13="","",IF(W13=TRUE,BB13+1,0))</f>
      </c>
      <c r="BD13" s="7">
        <f>=IF($A13="","",IF(X13=TRUE,BC13+1,0))</f>
      </c>
      <c r="BE13" s="7">
        <f>=IF($A13="","",IF(Y13=TRUE,BD13+1,0))</f>
      </c>
      <c r="BF13" s="7">
        <f>=IF($A13="","",IF(Z13=TRUE,BE13+1,0))</f>
      </c>
      <c r="BG13" s="7">
        <f>=IF($A13="","",IF(AA13=TRUE,BF13+1,0))</f>
      </c>
      <c r="BH13" s="7">
        <f>=IF($A13="","",IF(AB13=TRUE,BG13+1,0))</f>
      </c>
      <c r="BI13" s="7">
        <f>=IF($A13="","",IF(AC13=TRUE,BH13+1,0))</f>
      </c>
      <c r="BJ13" s="7">
        <f>=IF($A13="","",IF(AD13=TRUE,BI13+1,0))</f>
      </c>
      <c r="BK13" s="7">
        <f>=IF($A13="","",IF(AE13=TRUE,BJ13+1,0))</f>
      </c>
    </row>
    <row r="14" spans="1:63" x14ac:dyDescent="0.25">
      <c r="A14" s="4" t="s">
        <v>26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6">
        <f>=IF($A14="","",IF(COUNTIF($B14:$AE14,TRUE)+COUNTIF($B14:$AE14,FALSE)=0,"",SUM($B14:$AE14)/(COUNTIF($B14:$AE14,TRUE)+COUNTIF($B14:$AE14,FALSE))))</f>
      </c>
      <c r="AG14" s="4">
        <f>=IF($A14="","",SUM(IF($B$2=1,AH14,0),IF($B$2=2,AI14,0),IF($B$2=3,AJ14,0),IF($B$2=4,AK14,0),IF($B$2=5,AL14,0),IF($B$2=6,AM14,0),IF($B$2=7,AN14,0),IF($B$2=8,AO14,0),IF($B$2=9,AP14,0),IF($B$2=10,AQ14,0),IF($B$2=11,AR14,0),IF($B$2=12,AS14,0),IF($B$2=13,AT14,0),IF($B$2=14,AU14,0),IF($B$2=15,AV14,0),IF($B$2=16,AW14,0),IF($B$2=17,AX14,0),IF($B$2=18,AY14,0),IF($B$2=19,AZ14,0),IF($B$2=20,BA14,0),IF($B$2=21,BB14,0),IF($B$2=22,BC14,0),IF($B$2=23,BD14,0),IF($B$2=24,BE14,0),IF($B$2=25,BF14,0),IF($B$2=26,BG14,0),IF($B$2=27,BH14,0),IF($B$2=28,BI14,0),IF($B$2=29,BJ14,0),IF($B$2=30,BK14,0)))</f>
      </c>
      <c r="AH14" s="7">
        <f>=IF($A14="","",IF(B14=TRUE,1,0))</f>
      </c>
      <c r="AI14" s="7">
        <f>=IF($A14="","",IF(C14=TRUE,AH14+1,0))</f>
      </c>
      <c r="AJ14" s="7">
        <f>=IF($A14="","",IF(D14=TRUE,AI14+1,0))</f>
      </c>
      <c r="AK14" s="7">
        <f>=IF($A14="","",IF(E14=TRUE,AJ14+1,0))</f>
      </c>
      <c r="AL14" s="7">
        <f>=IF($A14="","",IF(F14=TRUE,AK14+1,0))</f>
      </c>
      <c r="AM14" s="7">
        <f>=IF($A14="","",IF(G14=TRUE,AL14+1,0))</f>
      </c>
      <c r="AN14" s="7">
        <f>=IF($A14="","",IF(H14=TRUE,AM14+1,0))</f>
      </c>
      <c r="AO14" s="7">
        <f>=IF($A14="","",IF(I14=TRUE,AN14+1,0))</f>
      </c>
      <c r="AP14" s="7">
        <f>=IF($A14="","",IF(J14=TRUE,AO14+1,0))</f>
      </c>
      <c r="AQ14" s="7">
        <f>=IF($A14="","",IF(K14=TRUE,AP14+1,0))</f>
      </c>
      <c r="AR14" s="7">
        <f>=IF($A14="","",IF(L14=TRUE,AQ14+1,0))</f>
      </c>
      <c r="AS14" s="7">
        <f>=IF($A14="","",IF(M14=TRUE,AR14+1,0))</f>
      </c>
      <c r="AT14" s="7">
        <f>=IF($A14="","",IF(N14=TRUE,AS14+1,0))</f>
      </c>
      <c r="AU14" s="7">
        <f>=IF($A14="","",IF(O14=TRUE,AT14+1,0))</f>
      </c>
      <c r="AV14" s="7">
        <f>=IF($A14="","",IF(P14=TRUE,AU14+1,0))</f>
      </c>
      <c r="AW14" s="7">
        <f>=IF($A14="","",IF(Q14=TRUE,AV14+1,0))</f>
      </c>
      <c r="AX14" s="7">
        <f>=IF($A14="","",IF(R14=TRUE,AW14+1,0))</f>
      </c>
      <c r="AY14" s="7">
        <f>=IF($A14="","",IF(S14=TRUE,AX14+1,0))</f>
      </c>
      <c r="AZ14" s="7">
        <f>=IF($A14="","",IF(T14=TRUE,AY14+1,0))</f>
      </c>
      <c r="BA14" s="7">
        <f>=IF($A14="","",IF(U14=TRUE,AZ14+1,0))</f>
      </c>
      <c r="BB14" s="7">
        <f>=IF($A14="","",IF(V14=TRUE,BA14+1,0))</f>
      </c>
      <c r="BC14" s="7">
        <f>=IF($A14="","",IF(W14=TRUE,BB14+1,0))</f>
      </c>
      <c r="BD14" s="7">
        <f>=IF($A14="","",IF(X14=TRUE,BC14+1,0))</f>
      </c>
      <c r="BE14" s="7">
        <f>=IF($A14="","",IF(Y14=TRUE,BD14+1,0))</f>
      </c>
      <c r="BF14" s="7">
        <f>=IF($A14="","",IF(Z14=TRUE,BE14+1,0))</f>
      </c>
      <c r="BG14" s="7">
        <f>=IF($A14="","",IF(AA14=TRUE,BF14+1,0))</f>
      </c>
      <c r="BH14" s="7">
        <f>=IF($A14="","",IF(AB14=TRUE,BG14+1,0))</f>
      </c>
      <c r="BI14" s="7">
        <f>=IF($A14="","",IF(AC14=TRUE,BH14+1,0))</f>
      </c>
      <c r="BJ14" s="7">
        <f>=IF($A14="","",IF(AD14=TRUE,BI14+1,0))</f>
      </c>
      <c r="BK14" s="7">
        <f>=IF($A14="","",IF(AE14=TRUE,BJ14+1,0))</f>
      </c>
    </row>
    <row r="15" spans="1:63" x14ac:dyDescent="0.25">
      <c r="A15" s="4" t="s">
        <v>27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6">
        <f>=IF($A15="","",IF(COUNTIF($B15:$AE15,TRUE)+COUNTIF($B15:$AE15,FALSE)=0,"",SUM($B15:$AE15)/(COUNTIF($B15:$AE15,TRUE)+COUNTIF($B15:$AE15,FALSE))))</f>
      </c>
      <c r="AG15" s="4">
        <f>=IF($A15="","",SUM(IF($B$2=1,AH15,0),IF($B$2=2,AI15,0),IF($B$2=3,AJ15,0),IF($B$2=4,AK15,0),IF($B$2=5,AL15,0),IF($B$2=6,AM15,0),IF($B$2=7,AN15,0),IF($B$2=8,AO15,0),IF($B$2=9,AP15,0),IF($B$2=10,AQ15,0),IF($B$2=11,AR15,0),IF($B$2=12,AS15,0),IF($B$2=13,AT15,0),IF($B$2=14,AU15,0),IF($B$2=15,AV15,0),IF($B$2=16,AW15,0),IF($B$2=17,AX15,0),IF($B$2=18,AY15,0),IF($B$2=19,AZ15,0),IF($B$2=20,BA15,0),IF($B$2=21,BB15,0),IF($B$2=22,BC15,0),IF($B$2=23,BD15,0),IF($B$2=24,BE15,0),IF($B$2=25,BF15,0),IF($B$2=26,BG15,0),IF($B$2=27,BH15,0),IF($B$2=28,BI15,0),IF($B$2=29,BJ15,0),IF($B$2=30,BK15,0)))</f>
      </c>
      <c r="AH15" s="7">
        <f>=IF($A15="","",IF(B15=TRUE,1,0))</f>
      </c>
      <c r="AI15" s="7">
        <f>=IF($A15="","",IF(C15=TRUE,AH15+1,0))</f>
      </c>
      <c r="AJ15" s="7">
        <f>=IF($A15="","",IF(D15=TRUE,AI15+1,0))</f>
      </c>
      <c r="AK15" s="7">
        <f>=IF($A15="","",IF(E15=TRUE,AJ15+1,0))</f>
      </c>
      <c r="AL15" s="7">
        <f>=IF($A15="","",IF(F15=TRUE,AK15+1,0))</f>
      </c>
      <c r="AM15" s="7">
        <f>=IF($A15="","",IF(G15=TRUE,AL15+1,0))</f>
      </c>
      <c r="AN15" s="7">
        <f>=IF($A15="","",IF(H15=TRUE,AM15+1,0))</f>
      </c>
      <c r="AO15" s="7">
        <f>=IF($A15="","",IF(I15=TRUE,AN15+1,0))</f>
      </c>
      <c r="AP15" s="7">
        <f>=IF($A15="","",IF(J15=TRUE,AO15+1,0))</f>
      </c>
      <c r="AQ15" s="7">
        <f>=IF($A15="","",IF(K15=TRUE,AP15+1,0))</f>
      </c>
      <c r="AR15" s="7">
        <f>=IF($A15="","",IF(L15=TRUE,AQ15+1,0))</f>
      </c>
      <c r="AS15" s="7">
        <f>=IF($A15="","",IF(M15=TRUE,AR15+1,0))</f>
      </c>
      <c r="AT15" s="7">
        <f>=IF($A15="","",IF(N15=TRUE,AS15+1,0))</f>
      </c>
      <c r="AU15" s="7">
        <f>=IF($A15="","",IF(O15=TRUE,AT15+1,0))</f>
      </c>
      <c r="AV15" s="7">
        <f>=IF($A15="","",IF(P15=TRUE,AU15+1,0))</f>
      </c>
      <c r="AW15" s="7">
        <f>=IF($A15="","",IF(Q15=TRUE,AV15+1,0))</f>
      </c>
      <c r="AX15" s="7">
        <f>=IF($A15="","",IF(R15=TRUE,AW15+1,0))</f>
      </c>
      <c r="AY15" s="7">
        <f>=IF($A15="","",IF(S15=TRUE,AX15+1,0))</f>
      </c>
      <c r="AZ15" s="7">
        <f>=IF($A15="","",IF(T15=TRUE,AY15+1,0))</f>
      </c>
      <c r="BA15" s="7">
        <f>=IF($A15="","",IF(U15=TRUE,AZ15+1,0))</f>
      </c>
      <c r="BB15" s="7">
        <f>=IF($A15="","",IF(V15=TRUE,BA15+1,0))</f>
      </c>
      <c r="BC15" s="7">
        <f>=IF($A15="","",IF(W15=TRUE,BB15+1,0))</f>
      </c>
      <c r="BD15" s="7">
        <f>=IF($A15="","",IF(X15=TRUE,BC15+1,0))</f>
      </c>
      <c r="BE15" s="7">
        <f>=IF($A15="","",IF(Y15=TRUE,BD15+1,0))</f>
      </c>
      <c r="BF15" s="7">
        <f>=IF($A15="","",IF(Z15=TRUE,BE15+1,0))</f>
      </c>
      <c r="BG15" s="7">
        <f>=IF($A15="","",IF(AA15=TRUE,BF15+1,0))</f>
      </c>
      <c r="BH15" s="7">
        <f>=IF($A15="","",IF(AB15=TRUE,BG15+1,0))</f>
      </c>
      <c r="BI15" s="7">
        <f>=IF($A15="","",IF(AC15=TRUE,BH15+1,0))</f>
      </c>
      <c r="BJ15" s="7">
        <f>=IF($A15="","",IF(AD15=TRUE,BI15+1,0))</f>
      </c>
      <c r="BK15" s="7">
        <f>=IF($A15="","",IF(AE15=TRUE,BJ15+1,0))</f>
      </c>
    </row>
    <row r="16" spans="1:63" x14ac:dyDescent="0.25">
      <c r="A16" s="4" t="s">
        <v>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6">
        <f>=IF($A16="","",IF(COUNTIF($B16:$AE16,TRUE)+COUNTIF($B16:$AE16,FALSE)=0,"",SUM($B16:$AE16)/(COUNTIF($B16:$AE16,TRUE)+COUNTIF($B16:$AE16,FALSE))))</f>
      </c>
      <c r="AG16" s="4">
        <f>=IF($A16="","",SUM(IF($B$2=1,AH16,0),IF($B$2=2,AI16,0),IF($B$2=3,AJ16,0),IF($B$2=4,AK16,0),IF($B$2=5,AL16,0),IF($B$2=6,AM16,0),IF($B$2=7,AN16,0),IF($B$2=8,AO16,0),IF($B$2=9,AP16,0),IF($B$2=10,AQ16,0),IF($B$2=11,AR16,0),IF($B$2=12,AS16,0),IF($B$2=13,AT16,0),IF($B$2=14,AU16,0),IF($B$2=15,AV16,0),IF($B$2=16,AW16,0),IF($B$2=17,AX16,0),IF($B$2=18,AY16,0),IF($B$2=19,AZ16,0),IF($B$2=20,BA16,0),IF($B$2=21,BB16,0),IF($B$2=22,BC16,0),IF($B$2=23,BD16,0),IF($B$2=24,BE16,0),IF($B$2=25,BF16,0),IF($B$2=26,BG16,0),IF($B$2=27,BH16,0),IF($B$2=28,BI16,0),IF($B$2=29,BJ16,0),IF($B$2=30,BK16,0)))</f>
      </c>
      <c r="AH16" s="7">
        <f>=IF($A16="","",IF(B16=TRUE,1,0))</f>
      </c>
      <c r="AI16" s="7">
        <f>=IF($A16="","",IF(C16=TRUE,AH16+1,0))</f>
      </c>
      <c r="AJ16" s="7">
        <f>=IF($A16="","",IF(D16=TRUE,AI16+1,0))</f>
      </c>
      <c r="AK16" s="7">
        <f>=IF($A16="","",IF(E16=TRUE,AJ16+1,0))</f>
      </c>
      <c r="AL16" s="7">
        <f>=IF($A16="","",IF(F16=TRUE,AK16+1,0))</f>
      </c>
      <c r="AM16" s="7">
        <f>=IF($A16="","",IF(G16=TRUE,AL16+1,0))</f>
      </c>
      <c r="AN16" s="7">
        <f>=IF($A16="","",IF(H16=TRUE,AM16+1,0))</f>
      </c>
      <c r="AO16" s="7">
        <f>=IF($A16="","",IF(I16=TRUE,AN16+1,0))</f>
      </c>
      <c r="AP16" s="7">
        <f>=IF($A16="","",IF(J16=TRUE,AO16+1,0))</f>
      </c>
      <c r="AQ16" s="7">
        <f>=IF($A16="","",IF(K16=TRUE,AP16+1,0))</f>
      </c>
      <c r="AR16" s="7">
        <f>=IF($A16="","",IF(L16=TRUE,AQ16+1,0))</f>
      </c>
      <c r="AS16" s="7">
        <f>=IF($A16="","",IF(M16=TRUE,AR16+1,0))</f>
      </c>
      <c r="AT16" s="7">
        <f>=IF($A16="","",IF(N16=TRUE,AS16+1,0))</f>
      </c>
      <c r="AU16" s="7">
        <f>=IF($A16="","",IF(O16=TRUE,AT16+1,0))</f>
      </c>
      <c r="AV16" s="7">
        <f>=IF($A16="","",IF(P16=TRUE,AU16+1,0))</f>
      </c>
      <c r="AW16" s="7">
        <f>=IF($A16="","",IF(Q16=TRUE,AV16+1,0))</f>
      </c>
      <c r="AX16" s="7">
        <f>=IF($A16="","",IF(R16=TRUE,AW16+1,0))</f>
      </c>
      <c r="AY16" s="7">
        <f>=IF($A16="","",IF(S16=TRUE,AX16+1,0))</f>
      </c>
      <c r="AZ16" s="7">
        <f>=IF($A16="","",IF(T16=TRUE,AY16+1,0))</f>
      </c>
      <c r="BA16" s="7">
        <f>=IF($A16="","",IF(U16=TRUE,AZ16+1,0))</f>
      </c>
      <c r="BB16" s="7">
        <f>=IF($A16="","",IF(V16=TRUE,BA16+1,0))</f>
      </c>
      <c r="BC16" s="7">
        <f>=IF($A16="","",IF(W16=TRUE,BB16+1,0))</f>
      </c>
      <c r="BD16" s="7">
        <f>=IF($A16="","",IF(X16=TRUE,BC16+1,0))</f>
      </c>
      <c r="BE16" s="7">
        <f>=IF($A16="","",IF(Y16=TRUE,BD16+1,0))</f>
      </c>
      <c r="BF16" s="7">
        <f>=IF($A16="","",IF(Z16=TRUE,BE16+1,0))</f>
      </c>
      <c r="BG16" s="7">
        <f>=IF($A16="","",IF(AA16=TRUE,BF16+1,0))</f>
      </c>
      <c r="BH16" s="7">
        <f>=IF($A16="","",IF(AB16=TRUE,BG16+1,0))</f>
      </c>
      <c r="BI16" s="7">
        <f>=IF($A16="","",IF(AC16=TRUE,BH16+1,0))</f>
      </c>
      <c r="BJ16" s="7">
        <f>=IF($A16="","",IF(AD16=TRUE,BI16+1,0))</f>
      </c>
      <c r="BK16" s="7">
        <f>=IF($A16="","",IF(AE16=TRUE,BJ16+1,0))</f>
      </c>
    </row>
    <row r="17" spans="1:63" x14ac:dyDescent="0.25">
      <c r="A17" s="4" t="s">
        <v>29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6">
        <f>=IF($A17="","",IF(COUNTIF($B17:$AE17,TRUE)+COUNTIF($B17:$AE17,FALSE)=0,"",SUM($B17:$AE17)/(COUNTIF($B17:$AE17,TRUE)+COUNTIF($B17:$AE17,FALSE))))</f>
      </c>
      <c r="AG17" s="4">
        <f>=IF($A17="","",SUM(IF($B$2=1,AH17,0),IF($B$2=2,AI17,0),IF($B$2=3,AJ17,0),IF($B$2=4,AK17,0),IF($B$2=5,AL17,0),IF($B$2=6,AM17,0),IF($B$2=7,AN17,0),IF($B$2=8,AO17,0),IF($B$2=9,AP17,0),IF($B$2=10,AQ17,0),IF($B$2=11,AR17,0),IF($B$2=12,AS17,0),IF($B$2=13,AT17,0),IF($B$2=14,AU17,0),IF($B$2=15,AV17,0),IF($B$2=16,AW17,0),IF($B$2=17,AX17,0),IF($B$2=18,AY17,0),IF($B$2=19,AZ17,0),IF($B$2=20,BA17,0),IF($B$2=21,BB17,0),IF($B$2=22,BC17,0),IF($B$2=23,BD17,0),IF($B$2=24,BE17,0),IF($B$2=25,BF17,0),IF($B$2=26,BG17,0),IF($B$2=27,BH17,0),IF($B$2=28,BI17,0),IF($B$2=29,BJ17,0),IF($B$2=30,BK17,0)))</f>
      </c>
      <c r="AH17" s="7">
        <f>=IF($A17="","",IF(B17=TRUE,1,0))</f>
      </c>
      <c r="AI17" s="7">
        <f>=IF($A17="","",IF(C17=TRUE,AH17+1,0))</f>
      </c>
      <c r="AJ17" s="7">
        <f>=IF($A17="","",IF(D17=TRUE,AI17+1,0))</f>
      </c>
      <c r="AK17" s="7">
        <f>=IF($A17="","",IF(E17=TRUE,AJ17+1,0))</f>
      </c>
      <c r="AL17" s="7">
        <f>=IF($A17="","",IF(F17=TRUE,AK17+1,0))</f>
      </c>
      <c r="AM17" s="7">
        <f>=IF($A17="","",IF(G17=TRUE,AL17+1,0))</f>
      </c>
      <c r="AN17" s="7">
        <f>=IF($A17="","",IF(H17=TRUE,AM17+1,0))</f>
      </c>
      <c r="AO17" s="7">
        <f>=IF($A17="","",IF(I17=TRUE,AN17+1,0))</f>
      </c>
      <c r="AP17" s="7">
        <f>=IF($A17="","",IF(J17=TRUE,AO17+1,0))</f>
      </c>
      <c r="AQ17" s="7">
        <f>=IF($A17="","",IF(K17=TRUE,AP17+1,0))</f>
      </c>
      <c r="AR17" s="7">
        <f>=IF($A17="","",IF(L17=TRUE,AQ17+1,0))</f>
      </c>
      <c r="AS17" s="7">
        <f>=IF($A17="","",IF(M17=TRUE,AR17+1,0))</f>
      </c>
      <c r="AT17" s="7">
        <f>=IF($A17="","",IF(N17=TRUE,AS17+1,0))</f>
      </c>
      <c r="AU17" s="7">
        <f>=IF($A17="","",IF(O17=TRUE,AT17+1,0))</f>
      </c>
      <c r="AV17" s="7">
        <f>=IF($A17="","",IF(P17=TRUE,AU17+1,0))</f>
      </c>
      <c r="AW17" s="7">
        <f>=IF($A17="","",IF(Q17=TRUE,AV17+1,0))</f>
      </c>
      <c r="AX17" s="7">
        <f>=IF($A17="","",IF(R17=TRUE,AW17+1,0))</f>
      </c>
      <c r="AY17" s="7">
        <f>=IF($A17="","",IF(S17=TRUE,AX17+1,0))</f>
      </c>
      <c r="AZ17" s="7">
        <f>=IF($A17="","",IF(T17=TRUE,AY17+1,0))</f>
      </c>
      <c r="BA17" s="7">
        <f>=IF($A17="","",IF(U17=TRUE,AZ17+1,0))</f>
      </c>
      <c r="BB17" s="7">
        <f>=IF($A17="","",IF(V17=TRUE,BA17+1,0))</f>
      </c>
      <c r="BC17" s="7">
        <f>=IF($A17="","",IF(W17=TRUE,BB17+1,0))</f>
      </c>
      <c r="BD17" s="7">
        <f>=IF($A17="","",IF(X17=TRUE,BC17+1,0))</f>
      </c>
      <c r="BE17" s="7">
        <f>=IF($A17="","",IF(Y17=TRUE,BD17+1,0))</f>
      </c>
      <c r="BF17" s="7">
        <f>=IF($A17="","",IF(Z17=TRUE,BE17+1,0))</f>
      </c>
      <c r="BG17" s="7">
        <f>=IF($A17="","",IF(AA17=TRUE,BF17+1,0))</f>
      </c>
      <c r="BH17" s="7">
        <f>=IF($A17="","",IF(AB17=TRUE,BG17+1,0))</f>
      </c>
      <c r="BI17" s="7">
        <f>=IF($A17="","",IF(AC17=TRUE,BH17+1,0))</f>
      </c>
      <c r="BJ17" s="7">
        <f>=IF($A17="","",IF(AD17=TRUE,BI17+1,0))</f>
      </c>
      <c r="BK17" s="7">
        <f>=IF($A17="","",IF(AE17=TRUE,BJ17+1,0))</f>
      </c>
    </row>
    <row r="18" spans="1:63" x14ac:dyDescent="0.25">
      <c r="A18" s="4" t="s">
        <v>30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6">
        <f>=IF($A18="","",IF(COUNTIF($B18:$AE18,TRUE)+COUNTIF($B18:$AE18,FALSE)=0,"",SUM($B18:$AE18)/(COUNTIF($B18:$AE18,TRUE)+COUNTIF($B18:$AE18,FALSE))))</f>
      </c>
      <c r="AG18" s="4">
        <f>=IF($A18="","",SUM(IF($B$2=1,AH18,0),IF($B$2=2,AI18,0),IF($B$2=3,AJ18,0),IF($B$2=4,AK18,0),IF($B$2=5,AL18,0),IF($B$2=6,AM18,0),IF($B$2=7,AN18,0),IF($B$2=8,AO18,0),IF($B$2=9,AP18,0),IF($B$2=10,AQ18,0),IF($B$2=11,AR18,0),IF($B$2=12,AS18,0),IF($B$2=13,AT18,0),IF($B$2=14,AU18,0),IF($B$2=15,AV18,0),IF($B$2=16,AW18,0),IF($B$2=17,AX18,0),IF($B$2=18,AY18,0),IF($B$2=19,AZ18,0),IF($B$2=20,BA18,0),IF($B$2=21,BB18,0),IF($B$2=22,BC18,0),IF($B$2=23,BD18,0),IF($B$2=24,BE18,0),IF($B$2=25,BF18,0),IF($B$2=26,BG18,0),IF($B$2=27,BH18,0),IF($B$2=28,BI18,0),IF($B$2=29,BJ18,0),IF($B$2=30,BK18,0)))</f>
      </c>
      <c r="AH18" s="7">
        <f>=IF($A18="","",IF(B18=TRUE,1,0))</f>
      </c>
      <c r="AI18" s="7">
        <f>=IF($A18="","",IF(C18=TRUE,AH18+1,0))</f>
      </c>
      <c r="AJ18" s="7">
        <f>=IF($A18="","",IF(D18=TRUE,AI18+1,0))</f>
      </c>
      <c r="AK18" s="7">
        <f>=IF($A18="","",IF(E18=TRUE,AJ18+1,0))</f>
      </c>
      <c r="AL18" s="7">
        <f>=IF($A18="","",IF(F18=TRUE,AK18+1,0))</f>
      </c>
      <c r="AM18" s="7">
        <f>=IF($A18="","",IF(G18=TRUE,AL18+1,0))</f>
      </c>
      <c r="AN18" s="7">
        <f>=IF($A18="","",IF(H18=TRUE,AM18+1,0))</f>
      </c>
      <c r="AO18" s="7">
        <f>=IF($A18="","",IF(I18=TRUE,AN18+1,0))</f>
      </c>
      <c r="AP18" s="7">
        <f>=IF($A18="","",IF(J18=TRUE,AO18+1,0))</f>
      </c>
      <c r="AQ18" s="7">
        <f>=IF($A18="","",IF(K18=TRUE,AP18+1,0))</f>
      </c>
      <c r="AR18" s="7">
        <f>=IF($A18="","",IF(L18=TRUE,AQ18+1,0))</f>
      </c>
      <c r="AS18" s="7">
        <f>=IF($A18="","",IF(M18=TRUE,AR18+1,0))</f>
      </c>
      <c r="AT18" s="7">
        <f>=IF($A18="","",IF(N18=TRUE,AS18+1,0))</f>
      </c>
      <c r="AU18" s="7">
        <f>=IF($A18="","",IF(O18=TRUE,AT18+1,0))</f>
      </c>
      <c r="AV18" s="7">
        <f>=IF($A18="","",IF(P18=TRUE,AU18+1,0))</f>
      </c>
      <c r="AW18" s="7">
        <f>=IF($A18="","",IF(Q18=TRUE,AV18+1,0))</f>
      </c>
      <c r="AX18" s="7">
        <f>=IF($A18="","",IF(R18=TRUE,AW18+1,0))</f>
      </c>
      <c r="AY18" s="7">
        <f>=IF($A18="","",IF(S18=TRUE,AX18+1,0))</f>
      </c>
      <c r="AZ18" s="7">
        <f>=IF($A18="","",IF(T18=TRUE,AY18+1,0))</f>
      </c>
      <c r="BA18" s="7">
        <f>=IF($A18="","",IF(U18=TRUE,AZ18+1,0))</f>
      </c>
      <c r="BB18" s="7">
        <f>=IF($A18="","",IF(V18=TRUE,BA18+1,0))</f>
      </c>
      <c r="BC18" s="7">
        <f>=IF($A18="","",IF(W18=TRUE,BB18+1,0))</f>
      </c>
      <c r="BD18" s="7">
        <f>=IF($A18="","",IF(X18=TRUE,BC18+1,0))</f>
      </c>
      <c r="BE18" s="7">
        <f>=IF($A18="","",IF(Y18=TRUE,BD18+1,0))</f>
      </c>
      <c r="BF18" s="7">
        <f>=IF($A18="","",IF(Z18=TRUE,BE18+1,0))</f>
      </c>
      <c r="BG18" s="7">
        <f>=IF($A18="","",IF(AA18=TRUE,BF18+1,0))</f>
      </c>
      <c r="BH18" s="7">
        <f>=IF($A18="","",IF(AB18=TRUE,BG18+1,0))</f>
      </c>
      <c r="BI18" s="7">
        <f>=IF($A18="","",IF(AC18=TRUE,BH18+1,0))</f>
      </c>
      <c r="BJ18" s="7">
        <f>=IF($A18="","",IF(AD18=TRUE,BI18+1,0))</f>
      </c>
      <c r="BK18" s="7">
        <f>=IF($A18="","",IF(AE18=TRUE,BJ18+1,0))</f>
      </c>
    </row>
    <row r="19" spans="1:63" x14ac:dyDescent="0.25">
      <c r="A19" s="4" t="s">
        <v>31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6">
        <f>=IF($A19="","",IF(COUNTIF($B19:$AE19,TRUE)+COUNTIF($B19:$AE19,FALSE)=0,"",SUM($B19:$AE19)/(COUNTIF($B19:$AE19,TRUE)+COUNTIF($B19:$AE19,FALSE))))</f>
      </c>
      <c r="AG19" s="4">
        <f>=IF($A19="","",SUM(IF($B$2=1,AH19,0),IF($B$2=2,AI19,0),IF($B$2=3,AJ19,0),IF($B$2=4,AK19,0),IF($B$2=5,AL19,0),IF($B$2=6,AM19,0),IF($B$2=7,AN19,0),IF($B$2=8,AO19,0),IF($B$2=9,AP19,0),IF($B$2=10,AQ19,0),IF($B$2=11,AR19,0),IF($B$2=12,AS19,0),IF($B$2=13,AT19,0),IF($B$2=14,AU19,0),IF($B$2=15,AV19,0),IF($B$2=16,AW19,0),IF($B$2=17,AX19,0),IF($B$2=18,AY19,0),IF($B$2=19,AZ19,0),IF($B$2=20,BA19,0),IF($B$2=21,BB19,0),IF($B$2=22,BC19,0),IF($B$2=23,BD19,0),IF($B$2=24,BE19,0),IF($B$2=25,BF19,0),IF($B$2=26,BG19,0),IF($B$2=27,BH19,0),IF($B$2=28,BI19,0),IF($B$2=29,BJ19,0),IF($B$2=30,BK19,0)))</f>
      </c>
      <c r="AH19" s="7">
        <f>=IF($A19="","",IF(B19=TRUE,1,0))</f>
      </c>
      <c r="AI19" s="7">
        <f>=IF($A19="","",IF(C19=TRUE,AH19+1,0))</f>
      </c>
      <c r="AJ19" s="7">
        <f>=IF($A19="","",IF(D19=TRUE,AI19+1,0))</f>
      </c>
      <c r="AK19" s="7">
        <f>=IF($A19="","",IF(E19=TRUE,AJ19+1,0))</f>
      </c>
      <c r="AL19" s="7">
        <f>=IF($A19="","",IF(F19=TRUE,AK19+1,0))</f>
      </c>
      <c r="AM19" s="7">
        <f>=IF($A19="","",IF(G19=TRUE,AL19+1,0))</f>
      </c>
      <c r="AN19" s="7">
        <f>=IF($A19="","",IF(H19=TRUE,AM19+1,0))</f>
      </c>
      <c r="AO19" s="7">
        <f>=IF($A19="","",IF(I19=TRUE,AN19+1,0))</f>
      </c>
      <c r="AP19" s="7">
        <f>=IF($A19="","",IF(J19=TRUE,AO19+1,0))</f>
      </c>
      <c r="AQ19" s="7">
        <f>=IF($A19="","",IF(K19=TRUE,AP19+1,0))</f>
      </c>
      <c r="AR19" s="7">
        <f>=IF($A19="","",IF(L19=TRUE,AQ19+1,0))</f>
      </c>
      <c r="AS19" s="7">
        <f>=IF($A19="","",IF(M19=TRUE,AR19+1,0))</f>
      </c>
      <c r="AT19" s="7">
        <f>=IF($A19="","",IF(N19=TRUE,AS19+1,0))</f>
      </c>
      <c r="AU19" s="7">
        <f>=IF($A19="","",IF(O19=TRUE,AT19+1,0))</f>
      </c>
      <c r="AV19" s="7">
        <f>=IF($A19="","",IF(P19=TRUE,AU19+1,0))</f>
      </c>
      <c r="AW19" s="7">
        <f>=IF($A19="","",IF(Q19=TRUE,AV19+1,0))</f>
      </c>
      <c r="AX19" s="7">
        <f>=IF($A19="","",IF(R19=TRUE,AW19+1,0))</f>
      </c>
      <c r="AY19" s="7">
        <f>=IF($A19="","",IF(S19=TRUE,AX19+1,0))</f>
      </c>
      <c r="AZ19" s="7">
        <f>=IF($A19="","",IF(T19=TRUE,AY19+1,0))</f>
      </c>
      <c r="BA19" s="7">
        <f>=IF($A19="","",IF(U19=TRUE,AZ19+1,0))</f>
      </c>
      <c r="BB19" s="7">
        <f>=IF($A19="","",IF(V19=TRUE,BA19+1,0))</f>
      </c>
      <c r="BC19" s="7">
        <f>=IF($A19="","",IF(W19=TRUE,BB19+1,0))</f>
      </c>
      <c r="BD19" s="7">
        <f>=IF($A19="","",IF(X19=TRUE,BC19+1,0))</f>
      </c>
      <c r="BE19" s="7">
        <f>=IF($A19="","",IF(Y19=TRUE,BD19+1,0))</f>
      </c>
      <c r="BF19" s="7">
        <f>=IF($A19="","",IF(Z19=TRUE,BE19+1,0))</f>
      </c>
      <c r="BG19" s="7">
        <f>=IF($A19="","",IF(AA19=TRUE,BF19+1,0))</f>
      </c>
      <c r="BH19" s="7">
        <f>=IF($A19="","",IF(AB19=TRUE,BG19+1,0))</f>
      </c>
      <c r="BI19" s="7">
        <f>=IF($A19="","",IF(AC19=TRUE,BH19+1,0))</f>
      </c>
      <c r="BJ19" s="7">
        <f>=IF($A19="","",IF(AD19=TRUE,BI19+1,0))</f>
      </c>
      <c r="BK19" s="7">
        <f>=IF($A19="","",IF(AE19=TRUE,BJ19+1,0))</f>
      </c>
    </row>
    <row r="20" spans="1:63" x14ac:dyDescent="0.25">
      <c r="A20" s="4" t="s">
        <v>32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6">
        <f>=IF($A20="","",IF(COUNTIF($B20:$AE20,TRUE)+COUNTIF($B20:$AE20,FALSE)=0,"",SUM($B20:$AE20)/(COUNTIF($B20:$AE20,TRUE)+COUNTIF($B20:$AE20,FALSE))))</f>
      </c>
      <c r="AG20" s="4">
        <f>=IF($A20="","",SUM(IF($B$2=1,AH20,0),IF($B$2=2,AI20,0),IF($B$2=3,AJ20,0),IF($B$2=4,AK20,0),IF($B$2=5,AL20,0),IF($B$2=6,AM20,0),IF($B$2=7,AN20,0),IF($B$2=8,AO20,0),IF($B$2=9,AP20,0),IF($B$2=10,AQ20,0),IF($B$2=11,AR20,0),IF($B$2=12,AS20,0),IF($B$2=13,AT20,0),IF($B$2=14,AU20,0),IF($B$2=15,AV20,0),IF($B$2=16,AW20,0),IF($B$2=17,AX20,0),IF($B$2=18,AY20,0),IF($B$2=19,AZ20,0),IF($B$2=20,BA20,0),IF($B$2=21,BB20,0),IF($B$2=22,BC20,0),IF($B$2=23,BD20,0),IF($B$2=24,BE20,0),IF($B$2=25,BF20,0),IF($B$2=26,BG20,0),IF($B$2=27,BH20,0),IF($B$2=28,BI20,0),IF($B$2=29,BJ20,0),IF($B$2=30,BK20,0)))</f>
      </c>
      <c r="AH20" s="7">
        <f>=IF($A20="","",IF(B20=TRUE,1,0))</f>
      </c>
      <c r="AI20" s="7">
        <f>=IF($A20="","",IF(C20=TRUE,AH20+1,0))</f>
      </c>
      <c r="AJ20" s="7">
        <f>=IF($A20="","",IF(D20=TRUE,AI20+1,0))</f>
      </c>
      <c r="AK20" s="7">
        <f>=IF($A20="","",IF(E20=TRUE,AJ20+1,0))</f>
      </c>
      <c r="AL20" s="7">
        <f>=IF($A20="","",IF(F20=TRUE,AK20+1,0))</f>
      </c>
      <c r="AM20" s="7">
        <f>=IF($A20="","",IF(G20=TRUE,AL20+1,0))</f>
      </c>
      <c r="AN20" s="7">
        <f>=IF($A20="","",IF(H20=TRUE,AM20+1,0))</f>
      </c>
      <c r="AO20" s="7">
        <f>=IF($A20="","",IF(I20=TRUE,AN20+1,0))</f>
      </c>
      <c r="AP20" s="7">
        <f>=IF($A20="","",IF(J20=TRUE,AO20+1,0))</f>
      </c>
      <c r="AQ20" s="7">
        <f>=IF($A20="","",IF(K20=TRUE,AP20+1,0))</f>
      </c>
      <c r="AR20" s="7">
        <f>=IF($A20="","",IF(L20=TRUE,AQ20+1,0))</f>
      </c>
      <c r="AS20" s="7">
        <f>=IF($A20="","",IF(M20=TRUE,AR20+1,0))</f>
      </c>
      <c r="AT20" s="7">
        <f>=IF($A20="","",IF(N20=TRUE,AS20+1,0))</f>
      </c>
      <c r="AU20" s="7">
        <f>=IF($A20="","",IF(O20=TRUE,AT20+1,0))</f>
      </c>
      <c r="AV20" s="7">
        <f>=IF($A20="","",IF(P20=TRUE,AU20+1,0))</f>
      </c>
      <c r="AW20" s="7">
        <f>=IF($A20="","",IF(Q20=TRUE,AV20+1,0))</f>
      </c>
      <c r="AX20" s="7">
        <f>=IF($A20="","",IF(R20=TRUE,AW20+1,0))</f>
      </c>
      <c r="AY20" s="7">
        <f>=IF($A20="","",IF(S20=TRUE,AX20+1,0))</f>
      </c>
      <c r="AZ20" s="7">
        <f>=IF($A20="","",IF(T20=TRUE,AY20+1,0))</f>
      </c>
      <c r="BA20" s="7">
        <f>=IF($A20="","",IF(U20=TRUE,AZ20+1,0))</f>
      </c>
      <c r="BB20" s="7">
        <f>=IF($A20="","",IF(V20=TRUE,BA20+1,0))</f>
      </c>
      <c r="BC20" s="7">
        <f>=IF($A20="","",IF(W20=TRUE,BB20+1,0))</f>
      </c>
      <c r="BD20" s="7">
        <f>=IF($A20="","",IF(X20=TRUE,BC20+1,0))</f>
      </c>
      <c r="BE20" s="7">
        <f>=IF($A20="","",IF(Y20=TRUE,BD20+1,0))</f>
      </c>
      <c r="BF20" s="7">
        <f>=IF($A20="","",IF(Z20=TRUE,BE20+1,0))</f>
      </c>
      <c r="BG20" s="7">
        <f>=IF($A20="","",IF(AA20=TRUE,BF20+1,0))</f>
      </c>
      <c r="BH20" s="7">
        <f>=IF($A20="","",IF(AB20=TRUE,BG20+1,0))</f>
      </c>
      <c r="BI20" s="7">
        <f>=IF($A20="","",IF(AC20=TRUE,BH20+1,0))</f>
      </c>
      <c r="BJ20" s="7">
        <f>=IF($A20="","",IF(AD20=TRUE,BI20+1,0))</f>
      </c>
      <c r="BK20" s="7">
        <f>=IF($A20="","",IF(AE20=TRUE,BJ20+1,0))</f>
      </c>
    </row>
    <row r="22" spans="1:31" x14ac:dyDescent="0.25">
      <c r="A22" s="2" t="s">
        <v>33</v>
      </c>
      <c r="B22" s="8">
        <f>=IF(COUNTIF($A$6:$A$20,"&lt;&gt;")=0,"",COUNTIF(B$6:B$20,TRUE)/COUNTIF($A$6:$A$20,"&lt;&gt;"))</f>
      </c>
      <c r="C22" s="8">
        <f>=IF(COUNTIF($A$6:$A$20,"&lt;&gt;")=0,"",COUNTIF(C$6:C$20,TRUE)/COUNTIF($A$6:$A$20,"&lt;&gt;"))</f>
      </c>
      <c r="D22" s="8">
        <f>=IF(COUNTIF($A$6:$A$20,"&lt;&gt;")=0,"",COUNTIF(D$6:D$20,TRUE)/COUNTIF($A$6:$A$20,"&lt;&gt;"))</f>
      </c>
      <c r="E22" s="8">
        <f>=IF(COUNTIF($A$6:$A$20,"&lt;&gt;")=0,"",COUNTIF(E$6:E$20,TRUE)/COUNTIF($A$6:$A$20,"&lt;&gt;"))</f>
      </c>
      <c r="F22" s="8">
        <f>=IF(COUNTIF($A$6:$A$20,"&lt;&gt;")=0,"",COUNTIF(F$6:F$20,TRUE)/COUNTIF($A$6:$A$20,"&lt;&gt;"))</f>
      </c>
      <c r="G22" s="8">
        <f>=IF(COUNTIF($A$6:$A$20,"&lt;&gt;")=0,"",COUNTIF(G$6:G$20,TRUE)/COUNTIF($A$6:$A$20,"&lt;&gt;"))</f>
      </c>
      <c r="H22" s="8">
        <f>=IF(COUNTIF($A$6:$A$20,"&lt;&gt;")=0,"",COUNTIF(H$6:H$20,TRUE)/COUNTIF($A$6:$A$20,"&lt;&gt;"))</f>
      </c>
      <c r="I22" s="8">
        <f>=IF(COUNTIF($A$6:$A$20,"&lt;&gt;")=0,"",COUNTIF(I$6:I$20,TRUE)/COUNTIF($A$6:$A$20,"&lt;&gt;"))</f>
      </c>
      <c r="J22" s="8">
        <f>=IF(COUNTIF($A$6:$A$20,"&lt;&gt;")=0,"",COUNTIF(J$6:J$20,TRUE)/COUNTIF($A$6:$A$20,"&lt;&gt;"))</f>
      </c>
      <c r="K22" s="8">
        <f>=IF(COUNTIF($A$6:$A$20,"&lt;&gt;")=0,"",COUNTIF(K$6:K$20,TRUE)/COUNTIF($A$6:$A$20,"&lt;&gt;"))</f>
      </c>
      <c r="L22" s="8">
        <f>=IF(COUNTIF($A$6:$A$20,"&lt;&gt;")=0,"",COUNTIF(L$6:L$20,TRUE)/COUNTIF($A$6:$A$20,"&lt;&gt;"))</f>
      </c>
      <c r="M22" s="8">
        <f>=IF(COUNTIF($A$6:$A$20,"&lt;&gt;")=0,"",COUNTIF(M$6:M$20,TRUE)/COUNTIF($A$6:$A$20,"&lt;&gt;"))</f>
      </c>
      <c r="N22" s="8">
        <f>=IF(COUNTIF($A$6:$A$20,"&lt;&gt;")=0,"",COUNTIF(N$6:N$20,TRUE)/COUNTIF($A$6:$A$20,"&lt;&gt;"))</f>
      </c>
      <c r="O22" s="8">
        <f>=IF(COUNTIF($A$6:$A$20,"&lt;&gt;")=0,"",COUNTIF(O$6:O$20,TRUE)/COUNTIF($A$6:$A$20,"&lt;&gt;"))</f>
      </c>
      <c r="P22" s="8">
        <f>=IF(COUNTIF($A$6:$A$20,"&lt;&gt;")=0,"",COUNTIF(P$6:P$20,TRUE)/COUNTIF($A$6:$A$20,"&lt;&gt;"))</f>
      </c>
      <c r="Q22" s="8">
        <f>=IF(COUNTIF($A$6:$A$20,"&lt;&gt;")=0,"",COUNTIF(Q$6:Q$20,TRUE)/COUNTIF($A$6:$A$20,"&lt;&gt;"))</f>
      </c>
      <c r="R22" s="8">
        <f>=IF(COUNTIF($A$6:$A$20,"&lt;&gt;")=0,"",COUNTIF(R$6:R$20,TRUE)/COUNTIF($A$6:$A$20,"&lt;&gt;"))</f>
      </c>
      <c r="S22" s="8">
        <f>=IF(COUNTIF($A$6:$A$20,"&lt;&gt;")=0,"",COUNTIF(S$6:S$20,TRUE)/COUNTIF($A$6:$A$20,"&lt;&gt;"))</f>
      </c>
      <c r="T22" s="8">
        <f>=IF(COUNTIF($A$6:$A$20,"&lt;&gt;")=0,"",COUNTIF(T$6:T$20,TRUE)/COUNTIF($A$6:$A$20,"&lt;&gt;"))</f>
      </c>
      <c r="U22" s="8">
        <f>=IF(COUNTIF($A$6:$A$20,"&lt;&gt;")=0,"",COUNTIF(U$6:U$20,TRUE)/COUNTIF($A$6:$A$20,"&lt;&gt;"))</f>
      </c>
      <c r="V22" s="8">
        <f>=IF(COUNTIF($A$6:$A$20,"&lt;&gt;")=0,"",COUNTIF(V$6:V$20,TRUE)/COUNTIF($A$6:$A$20,"&lt;&gt;"))</f>
      </c>
      <c r="W22" s="8">
        <f>=IF(COUNTIF($A$6:$A$20,"&lt;&gt;")=0,"",COUNTIF(W$6:W$20,TRUE)/COUNTIF($A$6:$A$20,"&lt;&gt;"))</f>
      </c>
      <c r="X22" s="8">
        <f>=IF(COUNTIF($A$6:$A$20,"&lt;&gt;")=0,"",COUNTIF(X$6:X$20,TRUE)/COUNTIF($A$6:$A$20,"&lt;&gt;"))</f>
      </c>
      <c r="Y22" s="8">
        <f>=IF(COUNTIF($A$6:$A$20,"&lt;&gt;")=0,"",COUNTIF(Y$6:Y$20,TRUE)/COUNTIF($A$6:$A$20,"&lt;&gt;"))</f>
      </c>
      <c r="Z22" s="8">
        <f>=IF(COUNTIF($A$6:$A$20,"&lt;&gt;")=0,"",COUNTIF(Z$6:Z$20,TRUE)/COUNTIF($A$6:$A$20,"&lt;&gt;"))</f>
      </c>
      <c r="AA22" s="8">
        <f>=IF(COUNTIF($A$6:$A$20,"&lt;&gt;")=0,"",COUNTIF(AA$6:AA$20,TRUE)/COUNTIF($A$6:$A$20,"&lt;&gt;"))</f>
      </c>
      <c r="AB22" s="8">
        <f>=IF(COUNTIF($A$6:$A$20,"&lt;&gt;")=0,"",COUNTIF(AB$6:AB$20,TRUE)/COUNTIF($A$6:$A$20,"&lt;&gt;"))</f>
      </c>
      <c r="AC22" s="8">
        <f>=IF(COUNTIF($A$6:$A$20,"&lt;&gt;")=0,"",COUNTIF(AC$6:AC$20,TRUE)/COUNTIF($A$6:$A$20,"&lt;&gt;"))</f>
      </c>
      <c r="AD22" s="8">
        <f>=IF(COUNTIF($A$6:$A$20,"&lt;&gt;")=0,"",COUNTIF(AD$6:AD$20,TRUE)/COUNTIF($A$6:$A$20,"&lt;&gt;"))</f>
      </c>
      <c r="AE22" s="8">
        <f>=IF(COUNTIF($A$6:$A$20,"&lt;&gt;")=0,"",COUNTIF(AE$6:AE$20,TRUE)/COUNTIF($A$6:$A$20,"&lt;&gt;"))</f>
      </c>
    </row>
    <row r="24" spans="1:1" x14ac:dyDescent="0.25">
      <c r="A24" t="s">
        <v>34</v>
      </c>
    </row>
    <row r="25" spans="1:1" x14ac:dyDescent="0.25">
      <c r="A25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4" customWidth="1"/>
    <col min="5" max="5" width="16" customWidth="1"/>
    <col min="6" max="7" width="12" customWidth="1"/>
    <col min="8" max="8" width="14" customWidth="1"/>
    <col min="9" max="9" width="16" customWidth="1"/>
    <col min="10" max="11" width="18" customWidth="1"/>
  </cols>
  <sheetData>
    <row r="1" spans="1:1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spans="7:11" x14ac:dyDescent="0.25">
      <c r="G2">
        <f>=IF(A2="","",SUMIF('TIME LOG'!$B:$B,A2,'TIME LOG'!$C:$C))</f>
      </c>
      <c r="H2" s="9">
        <f>=IF(A2="","",IF(G2=0,"",IF(F2/G2&gt;1,1,F2/G2)))</f>
      </c>
      <c r="I2">
        <f>=IF(D2="Done",E2,"")</f>
      </c>
      <c r="J2" s="9">
        <f>=IF(COUNTIF($A$2:$A$200,"&lt;&gt;")=0,"",COUNTIF($D$2:$D$200,"Done")/COUNTIF($A$2:$A$200,"&lt;&gt;"))</f>
      </c>
      <c r="K2" s="9">
        <f>=IF(COUNTIF($H$2:$H$200,"&gt;0")=0,"",AVERAGE($H$2:$H$200))</f>
      </c>
    </row>
    <row r="3" spans="7:9" x14ac:dyDescent="0.25">
      <c r="G3">
        <f>=IF(A3="","",SUMIF('TIME LOG'!$B:$B,A3,'TIME LOG'!$C:$C))</f>
      </c>
      <c r="H3" s="9">
        <f>=IF(A3="","",IF(G3=0,"",IF(F3/G3&gt;1,1,F3/G3)))</f>
      </c>
      <c r="I3">
        <f>=IF(D3="Done",E3,"")</f>
      </c>
    </row>
    <row r="4" spans="7:9" x14ac:dyDescent="0.25">
      <c r="G4">
        <f>=IF(A4="","",SUMIF('TIME LOG'!$B:$B,A4,'TIME LOG'!$C:$C))</f>
      </c>
      <c r="H4" s="9">
        <f>=IF(A4="","",IF(G4=0,"",IF(F4/G4&gt;1,1,F4/G4)))</f>
      </c>
      <c r="I4">
        <f>=IF(D4="Done",E4,"")</f>
      </c>
    </row>
    <row r="5" spans="7:9" x14ac:dyDescent="0.25">
      <c r="G5">
        <f>=IF(A5="","",SUMIF('TIME LOG'!$B:$B,A5,'TIME LOG'!$C:$C))</f>
      </c>
      <c r="H5" s="9">
        <f>=IF(A5="","",IF(G5=0,"",IF(F5/G5&gt;1,1,F5/G5)))</f>
      </c>
      <c r="I5">
        <f>=IF(D5="Done",E5,"")</f>
      </c>
    </row>
    <row r="6" spans="7:9" x14ac:dyDescent="0.25">
      <c r="G6">
        <f>=IF(A6="","",SUMIF('TIME LOG'!$B:$B,A6,'TIME LOG'!$C:$C))</f>
      </c>
      <c r="H6" s="9">
        <f>=IF(A6="","",IF(G6=0,"",IF(F6/G6&gt;1,1,F6/G6)))</f>
      </c>
      <c r="I6">
        <f>=IF(D6="Done",E6,"")</f>
      </c>
    </row>
    <row r="7" spans="7:9" x14ac:dyDescent="0.25">
      <c r="G7">
        <f>=IF(A7="","",SUMIF('TIME LOG'!$B:$B,A7,'TIME LOG'!$C:$C))</f>
      </c>
      <c r="H7" s="9">
        <f>=IF(A7="","",IF(G7=0,"",IF(F7/G7&gt;1,1,F7/G7)))</f>
      </c>
      <c r="I7">
        <f>=IF(D7="Done",E7,"")</f>
      </c>
    </row>
    <row r="8" spans="7:9" x14ac:dyDescent="0.25">
      <c r="G8">
        <f>=IF(A8="","",SUMIF('TIME LOG'!$B:$B,A8,'TIME LOG'!$C:$C))</f>
      </c>
      <c r="H8" s="9">
        <f>=IF(A8="","",IF(G8=0,"",IF(F8/G8&gt;1,1,F8/G8)))</f>
      </c>
      <c r="I8">
        <f>=IF(D8="Done",E8,"")</f>
      </c>
    </row>
    <row r="9" spans="7:9" x14ac:dyDescent="0.25">
      <c r="G9">
        <f>=IF(A9="","",SUMIF('TIME LOG'!$B:$B,A9,'TIME LOG'!$C:$C))</f>
      </c>
      <c r="H9" s="9">
        <f>=IF(A9="","",IF(G9=0,"",IF(F9/G9&gt;1,1,F9/G9)))</f>
      </c>
      <c r="I9">
        <f>=IF(D9="Done",E9,"")</f>
      </c>
    </row>
    <row r="10" spans="7:9" x14ac:dyDescent="0.25">
      <c r="G10">
        <f>=IF(A10="","",SUMIF('TIME LOG'!$B:$B,A10,'TIME LOG'!$C:$C))</f>
      </c>
      <c r="H10" s="9">
        <f>=IF(A10="","",IF(G10=0,"",IF(F10/G10&gt;1,1,F10/G10)))</f>
      </c>
      <c r="I10">
        <f>=IF(D10="Done",E10,"")</f>
      </c>
    </row>
    <row r="11" spans="7:9" x14ac:dyDescent="0.25">
      <c r="G11">
        <f>=IF(A11="","",SUMIF('TIME LOG'!$B:$B,A11,'TIME LOG'!$C:$C))</f>
      </c>
      <c r="H11" s="9">
        <f>=IF(A11="","",IF(G11=0,"",IF(F11/G11&gt;1,1,F11/G11)))</f>
      </c>
      <c r="I11">
        <f>=IF(D11="Done",E11,"")</f>
      </c>
    </row>
    <row r="12" spans="7:9" x14ac:dyDescent="0.25">
      <c r="G12">
        <f>=IF(A12="","",SUMIF('TIME LOG'!$B:$B,A12,'TIME LOG'!$C:$C))</f>
      </c>
      <c r="H12" s="9">
        <f>=IF(A12="","",IF(G12=0,"",IF(F12/G12&gt;1,1,F12/G12)))</f>
      </c>
      <c r="I12">
        <f>=IF(D12="Done",E12,"")</f>
      </c>
    </row>
    <row r="13" spans="7:9" x14ac:dyDescent="0.25">
      <c r="G13">
        <f>=IF(A13="","",SUMIF('TIME LOG'!$B:$B,A13,'TIME LOG'!$C:$C))</f>
      </c>
      <c r="H13" s="9">
        <f>=IF(A13="","",IF(G13=0,"",IF(F13/G13&gt;1,1,F13/G13)))</f>
      </c>
      <c r="I13">
        <f>=IF(D13="Done",E13,"")</f>
      </c>
    </row>
    <row r="14" spans="7:9" x14ac:dyDescent="0.25">
      <c r="G14">
        <f>=IF(A14="","",SUMIF('TIME LOG'!$B:$B,A14,'TIME LOG'!$C:$C))</f>
      </c>
      <c r="H14" s="9">
        <f>=IF(A14="","",IF(G14=0,"",IF(F14/G14&gt;1,1,F14/G14)))</f>
      </c>
      <c r="I14">
        <f>=IF(D14="Done",E14,"")</f>
      </c>
    </row>
    <row r="15" spans="7:9" x14ac:dyDescent="0.25">
      <c r="G15">
        <f>=IF(A15="","",SUMIF('TIME LOG'!$B:$B,A15,'TIME LOG'!$C:$C))</f>
      </c>
      <c r="H15" s="9">
        <f>=IF(A15="","",IF(G15=0,"",IF(F15/G15&gt;1,1,F15/G15)))</f>
      </c>
      <c r="I15">
        <f>=IF(D15="Done",E15,"")</f>
      </c>
    </row>
    <row r="16" spans="7:9" x14ac:dyDescent="0.25">
      <c r="G16">
        <f>=IF(A16="","",SUMIF('TIME LOG'!$B:$B,A16,'TIME LOG'!$C:$C))</f>
      </c>
      <c r="H16" s="9">
        <f>=IF(A16="","",IF(G16=0,"",IF(F16/G16&gt;1,1,F16/G16)))</f>
      </c>
      <c r="I16">
        <f>=IF(D16="Done",E16,"")</f>
      </c>
    </row>
    <row r="17" spans="7:9" x14ac:dyDescent="0.25">
      <c r="G17">
        <f>=IF(A17="","",SUMIF('TIME LOG'!$B:$B,A17,'TIME LOG'!$C:$C))</f>
      </c>
      <c r="H17" s="9">
        <f>=IF(A17="","",IF(G17=0,"",IF(F17/G17&gt;1,1,F17/G17)))</f>
      </c>
      <c r="I17">
        <f>=IF(D17="Done",E17,"")</f>
      </c>
    </row>
    <row r="18" spans="7:9" x14ac:dyDescent="0.25">
      <c r="G18">
        <f>=IF(A18="","",SUMIF('TIME LOG'!$B:$B,A18,'TIME LOG'!$C:$C))</f>
      </c>
      <c r="H18" s="9">
        <f>=IF(A18="","",IF(G18=0,"",IF(F18/G18&gt;1,1,F18/G18)))</f>
      </c>
      <c r="I18">
        <f>=IF(D18="Done",E18,"")</f>
      </c>
    </row>
    <row r="19" spans="7:9" x14ac:dyDescent="0.25">
      <c r="G19">
        <f>=IF(A19="","",SUMIF('TIME LOG'!$B:$B,A19,'TIME LOG'!$C:$C))</f>
      </c>
      <c r="H19" s="9">
        <f>=IF(A19="","",IF(G19=0,"",IF(F19/G19&gt;1,1,F19/G19)))</f>
      </c>
      <c r="I19">
        <f>=IF(D19="Done",E19,"")</f>
      </c>
    </row>
    <row r="20" spans="7:9" x14ac:dyDescent="0.25">
      <c r="G20">
        <f>=IF(A20="","",SUMIF('TIME LOG'!$B:$B,A20,'TIME LOG'!$C:$C))</f>
      </c>
      <c r="H20" s="9">
        <f>=IF(A20="","",IF(G20=0,"",IF(F20/G20&gt;1,1,F20/G20)))</f>
      </c>
      <c r="I20">
        <f>=IF(D20="Done",E20,"")</f>
      </c>
    </row>
    <row r="21" spans="7:9" x14ac:dyDescent="0.25">
      <c r="G21">
        <f>=IF(A21="","",SUMIF('TIME LOG'!$B:$B,A21,'TIME LOG'!$C:$C))</f>
      </c>
      <c r="H21" s="9">
        <f>=IF(A21="","",IF(G21=0,"",IF(F21/G21&gt;1,1,F21/G21)))</f>
      </c>
      <c r="I21">
        <f>=IF(D21="Done",E21,"")</f>
      </c>
    </row>
    <row r="22" spans="7:9" x14ac:dyDescent="0.25">
      <c r="G22">
        <f>=IF(A22="","",SUMIF('TIME LOG'!$B:$B,A22,'TIME LOG'!$C:$C))</f>
      </c>
      <c r="H22" s="9">
        <f>=IF(A22="","",IF(G22=0,"",IF(F22/G22&gt;1,1,F22/G22)))</f>
      </c>
      <c r="I22">
        <f>=IF(D22="Done",E22,"")</f>
      </c>
    </row>
    <row r="23" spans="7:9" x14ac:dyDescent="0.25">
      <c r="G23">
        <f>=IF(A23="","",SUMIF('TIME LOG'!$B:$B,A23,'TIME LOG'!$C:$C))</f>
      </c>
      <c r="H23" s="9">
        <f>=IF(A23="","",IF(G23=0,"",IF(F23/G23&gt;1,1,F23/G23)))</f>
      </c>
      <c r="I23">
        <f>=IF(D23="Done",E23,"")</f>
      </c>
    </row>
    <row r="24" spans="7:9" x14ac:dyDescent="0.25">
      <c r="G24">
        <f>=IF(A24="","",SUMIF('TIME LOG'!$B:$B,A24,'TIME LOG'!$C:$C))</f>
      </c>
      <c r="H24" s="9">
        <f>=IF(A24="","",IF(G24=0,"",IF(F24/G24&gt;1,1,F24/G24)))</f>
      </c>
      <c r="I24">
        <f>=IF(D24="Done",E24,"")</f>
      </c>
    </row>
    <row r="25" spans="7:9" x14ac:dyDescent="0.25">
      <c r="G25">
        <f>=IF(A25="","",SUMIF('TIME LOG'!$B:$B,A25,'TIME LOG'!$C:$C))</f>
      </c>
      <c r="H25" s="9">
        <f>=IF(A25="","",IF(G25=0,"",IF(F25/G25&gt;1,1,F25/G25)))</f>
      </c>
      <c r="I25">
        <f>=IF(D25="Done",E25,"")</f>
      </c>
    </row>
    <row r="26" spans="7:9" x14ac:dyDescent="0.25">
      <c r="G26">
        <f>=IF(A26="","",SUMIF('TIME LOG'!$B:$B,A26,'TIME LOG'!$C:$C))</f>
      </c>
      <c r="H26" s="9">
        <f>=IF(A26="","",IF(G26=0,"",IF(F26/G26&gt;1,1,F26/G26)))</f>
      </c>
      <c r="I26">
        <f>=IF(D26="Done",E26,"")</f>
      </c>
    </row>
    <row r="27" spans="7:9" x14ac:dyDescent="0.25">
      <c r="G27">
        <f>=IF(A27="","",SUMIF('TIME LOG'!$B:$B,A27,'TIME LOG'!$C:$C))</f>
      </c>
      <c r="H27" s="9">
        <f>=IF(A27="","",IF(G27=0,"",IF(F27/G27&gt;1,1,F27/G27)))</f>
      </c>
      <c r="I27">
        <f>=IF(D27="Done",E27,"")</f>
      </c>
    </row>
    <row r="28" spans="7:9" x14ac:dyDescent="0.25">
      <c r="G28">
        <f>=IF(A28="","",SUMIF('TIME LOG'!$B:$B,A28,'TIME LOG'!$C:$C))</f>
      </c>
      <c r="H28" s="9">
        <f>=IF(A28="","",IF(G28=0,"",IF(F28/G28&gt;1,1,F28/G28)))</f>
      </c>
      <c r="I28">
        <f>=IF(D28="Done",E28,"")</f>
      </c>
    </row>
    <row r="29" spans="7:9" x14ac:dyDescent="0.25">
      <c r="G29">
        <f>=IF(A29="","",SUMIF('TIME LOG'!$B:$B,A29,'TIME LOG'!$C:$C))</f>
      </c>
      <c r="H29" s="9">
        <f>=IF(A29="","",IF(G29=0,"",IF(F29/G29&gt;1,1,F29/G29)))</f>
      </c>
      <c r="I29">
        <f>=IF(D29="Done",E29,"")</f>
      </c>
    </row>
    <row r="30" spans="7:9" x14ac:dyDescent="0.25">
      <c r="G30">
        <f>=IF(A30="","",SUMIF('TIME LOG'!$B:$B,A30,'TIME LOG'!$C:$C))</f>
      </c>
      <c r="H30" s="9">
        <f>=IF(A30="","",IF(G30=0,"",IF(F30/G30&gt;1,1,F30/G30)))</f>
      </c>
      <c r="I30">
        <f>=IF(D30="Done",E30,"")</f>
      </c>
    </row>
    <row r="31" spans="7:9" x14ac:dyDescent="0.25">
      <c r="G31">
        <f>=IF(A31="","",SUMIF('TIME LOG'!$B:$B,A31,'TIME LOG'!$C:$C))</f>
      </c>
      <c r="H31" s="9">
        <f>=IF(A31="","",IF(G31=0,"",IF(F31/G31&gt;1,1,F31/G31)))</f>
      </c>
      <c r="I31">
        <f>=IF(D31="Done",E31,"")</f>
      </c>
    </row>
    <row r="32" spans="7:9" x14ac:dyDescent="0.25">
      <c r="G32">
        <f>=IF(A32="","",SUMIF('TIME LOG'!$B:$B,A32,'TIME LOG'!$C:$C))</f>
      </c>
      <c r="H32" s="9">
        <f>=IF(A32="","",IF(G32=0,"",IF(F32/G32&gt;1,1,F32/G32)))</f>
      </c>
      <c r="I32">
        <f>=IF(D32="Done",E32,"")</f>
      </c>
    </row>
    <row r="33" spans="7:9" x14ac:dyDescent="0.25">
      <c r="G33">
        <f>=IF(A33="","",SUMIF('TIME LOG'!$B:$B,A33,'TIME LOG'!$C:$C))</f>
      </c>
      <c r="H33" s="9">
        <f>=IF(A33="","",IF(G33=0,"",IF(F33/G33&gt;1,1,F33/G33)))</f>
      </c>
      <c r="I33">
        <f>=IF(D33="Done",E33,"")</f>
      </c>
    </row>
    <row r="34" spans="7:9" x14ac:dyDescent="0.25">
      <c r="G34">
        <f>=IF(A34="","",SUMIF('TIME LOG'!$B:$B,A34,'TIME LOG'!$C:$C))</f>
      </c>
      <c r="H34" s="9">
        <f>=IF(A34="","",IF(G34=0,"",IF(F34/G34&gt;1,1,F34/G34)))</f>
      </c>
      <c r="I34">
        <f>=IF(D34="Done",E34,"")</f>
      </c>
    </row>
    <row r="35" spans="7:9" x14ac:dyDescent="0.25">
      <c r="G35">
        <f>=IF(A35="","",SUMIF('TIME LOG'!$B:$B,A35,'TIME LOG'!$C:$C))</f>
      </c>
      <c r="H35" s="9">
        <f>=IF(A35="","",IF(G35=0,"",IF(F35/G35&gt;1,1,F35/G35)))</f>
      </c>
      <c r="I35">
        <f>=IF(D35="Done",E35,"")</f>
      </c>
    </row>
    <row r="36" spans="7:9" x14ac:dyDescent="0.25">
      <c r="G36">
        <f>=IF(A36="","",SUMIF('TIME LOG'!$B:$B,A36,'TIME LOG'!$C:$C))</f>
      </c>
      <c r="H36" s="9">
        <f>=IF(A36="","",IF(G36=0,"",IF(F36/G36&gt;1,1,F36/G36)))</f>
      </c>
      <c r="I36">
        <f>=IF(D36="Done",E36,"")</f>
      </c>
    </row>
    <row r="37" spans="7:9" x14ac:dyDescent="0.25">
      <c r="G37">
        <f>=IF(A37="","",SUMIF('TIME LOG'!$B:$B,A37,'TIME LOG'!$C:$C))</f>
      </c>
      <c r="H37" s="9">
        <f>=IF(A37="","",IF(G37=0,"",IF(F37/G37&gt;1,1,F37/G37)))</f>
      </c>
      <c r="I37">
        <f>=IF(D37="Done",E37,"")</f>
      </c>
    </row>
    <row r="38" spans="7:9" x14ac:dyDescent="0.25">
      <c r="G38">
        <f>=IF(A38="","",SUMIF('TIME LOG'!$B:$B,A38,'TIME LOG'!$C:$C))</f>
      </c>
      <c r="H38" s="9">
        <f>=IF(A38="","",IF(G38=0,"",IF(F38/G38&gt;1,1,F38/G38)))</f>
      </c>
      <c r="I38">
        <f>=IF(D38="Done",E38,"")</f>
      </c>
    </row>
    <row r="39" spans="7:9" x14ac:dyDescent="0.25">
      <c r="G39">
        <f>=IF(A39="","",SUMIF('TIME LOG'!$B:$B,A39,'TIME LOG'!$C:$C))</f>
      </c>
      <c r="H39" s="9">
        <f>=IF(A39="","",IF(G39=0,"",IF(F39/G39&gt;1,1,F39/G39)))</f>
      </c>
      <c r="I39">
        <f>=IF(D39="Done",E39,"")</f>
      </c>
    </row>
    <row r="40" spans="7:9" x14ac:dyDescent="0.25">
      <c r="G40">
        <f>=IF(A40="","",SUMIF('TIME LOG'!$B:$B,A40,'TIME LOG'!$C:$C))</f>
      </c>
      <c r="H40" s="9">
        <f>=IF(A40="","",IF(G40=0,"",IF(F40/G40&gt;1,1,F40/G40)))</f>
      </c>
      <c r="I40">
        <f>=IF(D40="Done",E40,"")</f>
      </c>
    </row>
    <row r="41" spans="7:9" x14ac:dyDescent="0.25">
      <c r="G41">
        <f>=IF(A41="","",SUMIF('TIME LOG'!$B:$B,A41,'TIME LOG'!$C:$C))</f>
      </c>
      <c r="H41" s="9">
        <f>=IF(A41="","",IF(G41=0,"",IF(F41/G41&gt;1,1,F41/G41)))</f>
      </c>
      <c r="I41">
        <f>=IF(D41="Done",E41,"")</f>
      </c>
    </row>
    <row r="42" spans="7:9" x14ac:dyDescent="0.25">
      <c r="G42">
        <f>=IF(A42="","",SUMIF('TIME LOG'!$B:$B,A42,'TIME LOG'!$C:$C))</f>
      </c>
      <c r="H42" s="9">
        <f>=IF(A42="","",IF(G42=0,"",IF(F42/G42&gt;1,1,F42/G42)))</f>
      </c>
      <c r="I42">
        <f>=IF(D42="Done",E42,"")</f>
      </c>
    </row>
    <row r="43" spans="7:9" x14ac:dyDescent="0.25">
      <c r="G43">
        <f>=IF(A43="","",SUMIF('TIME LOG'!$B:$B,A43,'TIME LOG'!$C:$C))</f>
      </c>
      <c r="H43" s="9">
        <f>=IF(A43="","",IF(G43=0,"",IF(F43/G43&gt;1,1,F43/G43)))</f>
      </c>
      <c r="I43">
        <f>=IF(D43="Done",E43,"")</f>
      </c>
    </row>
    <row r="44" spans="7:9" x14ac:dyDescent="0.25">
      <c r="G44">
        <f>=IF(A44="","",SUMIF('TIME LOG'!$B:$B,A44,'TIME LOG'!$C:$C))</f>
      </c>
      <c r="H44" s="9">
        <f>=IF(A44="","",IF(G44=0,"",IF(F44/G44&gt;1,1,F44/G44)))</f>
      </c>
      <c r="I44">
        <f>=IF(D44="Done",E44,"")</f>
      </c>
    </row>
    <row r="45" spans="7:9" x14ac:dyDescent="0.25">
      <c r="G45">
        <f>=IF(A45="","",SUMIF('TIME LOG'!$B:$B,A45,'TIME LOG'!$C:$C))</f>
      </c>
      <c r="H45" s="9">
        <f>=IF(A45="","",IF(G45=0,"",IF(F45/G45&gt;1,1,F45/G45)))</f>
      </c>
      <c r="I45">
        <f>=IF(D45="Done",E45,"")</f>
      </c>
    </row>
    <row r="46" spans="7:9" x14ac:dyDescent="0.25">
      <c r="G46">
        <f>=IF(A46="","",SUMIF('TIME LOG'!$B:$B,A46,'TIME LOG'!$C:$C))</f>
      </c>
      <c r="H46" s="9">
        <f>=IF(A46="","",IF(G46=0,"",IF(F46/G46&gt;1,1,F46/G46)))</f>
      </c>
      <c r="I46">
        <f>=IF(D46="Done",E46,"")</f>
      </c>
    </row>
    <row r="47" spans="7:9" x14ac:dyDescent="0.25">
      <c r="G47">
        <f>=IF(A47="","",SUMIF('TIME LOG'!$B:$B,A47,'TIME LOG'!$C:$C))</f>
      </c>
      <c r="H47" s="9">
        <f>=IF(A47="","",IF(G47=0,"",IF(F47/G47&gt;1,1,F47/G47)))</f>
      </c>
      <c r="I47">
        <f>=IF(D47="Done",E47,"")</f>
      </c>
    </row>
    <row r="48" spans="7:9" x14ac:dyDescent="0.25">
      <c r="G48">
        <f>=IF(A48="","",SUMIF('TIME LOG'!$B:$B,A48,'TIME LOG'!$C:$C))</f>
      </c>
      <c r="H48" s="9">
        <f>=IF(A48="","",IF(G48=0,"",IF(F48/G48&gt;1,1,F48/G48)))</f>
      </c>
      <c r="I48">
        <f>=IF(D48="Done",E48,"")</f>
      </c>
    </row>
    <row r="49" spans="7:9" x14ac:dyDescent="0.25">
      <c r="G49">
        <f>=IF(A49="","",SUMIF('TIME LOG'!$B:$B,A49,'TIME LOG'!$C:$C))</f>
      </c>
      <c r="H49" s="9">
        <f>=IF(A49="","",IF(G49=0,"",IF(F49/G49&gt;1,1,F49/G49)))</f>
      </c>
      <c r="I49">
        <f>=IF(D49="Done",E49,"")</f>
      </c>
    </row>
    <row r="50" spans="7:9" x14ac:dyDescent="0.25">
      <c r="G50">
        <f>=IF(A50="","",SUMIF('TIME LOG'!$B:$B,A50,'TIME LOG'!$C:$C))</f>
      </c>
      <c r="H50" s="9">
        <f>=IF(A50="","",IF(G50=0,"",IF(F50/G50&gt;1,1,F50/G50)))</f>
      </c>
      <c r="I50">
        <f>=IF(D50="Done",E50,"")</f>
      </c>
    </row>
    <row r="51" spans="7:9" x14ac:dyDescent="0.25">
      <c r="G51">
        <f>=IF(A51="","",SUMIF('TIME LOG'!$B:$B,A51,'TIME LOG'!$C:$C))</f>
      </c>
      <c r="H51" s="9">
        <f>=IF(A51="","",IF(G51=0,"",IF(F51/G51&gt;1,1,F51/G51)))</f>
      </c>
      <c r="I51">
        <f>=IF(D51="Done",E51,"")</f>
      </c>
    </row>
    <row r="52" spans="7:9" x14ac:dyDescent="0.25">
      <c r="G52">
        <f>=IF(A52="","",SUMIF('TIME LOG'!$B:$B,A52,'TIME LOG'!$C:$C))</f>
      </c>
      <c r="H52" s="9">
        <f>=IF(A52="","",IF(G52=0,"",IF(F52/G52&gt;1,1,F52/G52)))</f>
      </c>
      <c r="I52">
        <f>=IF(D52="Done",E52,"")</f>
      </c>
    </row>
    <row r="53" spans="7:9" x14ac:dyDescent="0.25">
      <c r="G53">
        <f>=IF(A53="","",SUMIF('TIME LOG'!$B:$B,A53,'TIME LOG'!$C:$C))</f>
      </c>
      <c r="H53" s="9">
        <f>=IF(A53="","",IF(G53=0,"",IF(F53/G53&gt;1,1,F53/G53)))</f>
      </c>
      <c r="I53">
        <f>=IF(D53="Done",E53,"")</f>
      </c>
    </row>
    <row r="54" spans="7:9" x14ac:dyDescent="0.25">
      <c r="G54">
        <f>=IF(A54="","",SUMIF('TIME LOG'!$B:$B,A54,'TIME LOG'!$C:$C))</f>
      </c>
      <c r="H54" s="9">
        <f>=IF(A54="","",IF(G54=0,"",IF(F54/G54&gt;1,1,F54/G54)))</f>
      </c>
      <c r="I54">
        <f>=IF(D54="Done",E54,"")</f>
      </c>
    </row>
    <row r="55" spans="7:9" x14ac:dyDescent="0.25">
      <c r="G55">
        <f>=IF(A55="","",SUMIF('TIME LOG'!$B:$B,A55,'TIME LOG'!$C:$C))</f>
      </c>
      <c r="H55" s="9">
        <f>=IF(A55="","",IF(G55=0,"",IF(F55/G55&gt;1,1,F55/G55)))</f>
      </c>
      <c r="I55">
        <f>=IF(D55="Done",E55,"")</f>
      </c>
    </row>
    <row r="56" spans="7:9" x14ac:dyDescent="0.25">
      <c r="G56">
        <f>=IF(A56="","",SUMIF('TIME LOG'!$B:$B,A56,'TIME LOG'!$C:$C))</f>
      </c>
      <c r="H56" s="9">
        <f>=IF(A56="","",IF(G56=0,"",IF(F56/G56&gt;1,1,F56/G56)))</f>
      </c>
      <c r="I56">
        <f>=IF(D56="Done",E56,"")</f>
      </c>
    </row>
    <row r="57" spans="7:9" x14ac:dyDescent="0.25">
      <c r="G57">
        <f>=IF(A57="","",SUMIF('TIME LOG'!$B:$B,A57,'TIME LOG'!$C:$C))</f>
      </c>
      <c r="H57" s="9">
        <f>=IF(A57="","",IF(G57=0,"",IF(F57/G57&gt;1,1,F57/G57)))</f>
      </c>
      <c r="I57">
        <f>=IF(D57="Done",E57,"")</f>
      </c>
    </row>
    <row r="58" spans="7:9" x14ac:dyDescent="0.25">
      <c r="G58">
        <f>=IF(A58="","",SUMIF('TIME LOG'!$B:$B,A58,'TIME LOG'!$C:$C))</f>
      </c>
      <c r="H58" s="9">
        <f>=IF(A58="","",IF(G58=0,"",IF(F58/G58&gt;1,1,F58/G58)))</f>
      </c>
      <c r="I58">
        <f>=IF(D58="Done",E58,"")</f>
      </c>
    </row>
    <row r="59" spans="7:9" x14ac:dyDescent="0.25">
      <c r="G59">
        <f>=IF(A59="","",SUMIF('TIME LOG'!$B:$B,A59,'TIME LOG'!$C:$C))</f>
      </c>
      <c r="H59" s="9">
        <f>=IF(A59="","",IF(G59=0,"",IF(F59/G59&gt;1,1,F59/G59)))</f>
      </c>
      <c r="I59">
        <f>=IF(D59="Done",E59,"")</f>
      </c>
    </row>
    <row r="60" spans="7:9" x14ac:dyDescent="0.25">
      <c r="G60">
        <f>=IF(A60="","",SUMIF('TIME LOG'!$B:$B,A60,'TIME LOG'!$C:$C))</f>
      </c>
      <c r="H60" s="9">
        <f>=IF(A60="","",IF(G60=0,"",IF(F60/G60&gt;1,1,F60/G60)))</f>
      </c>
      <c r="I60">
        <f>=IF(D60="Done",E60,"")</f>
      </c>
    </row>
    <row r="61" spans="7:9" x14ac:dyDescent="0.25">
      <c r="G61">
        <f>=IF(A61="","",SUMIF('TIME LOG'!$B:$B,A61,'TIME LOG'!$C:$C))</f>
      </c>
      <c r="H61" s="9">
        <f>=IF(A61="","",IF(G61=0,"",IF(F61/G61&gt;1,1,F61/G61)))</f>
      </c>
      <c r="I61">
        <f>=IF(D61="Done",E61,"")</f>
      </c>
    </row>
    <row r="62" spans="7:9" x14ac:dyDescent="0.25">
      <c r="G62">
        <f>=IF(A62="","",SUMIF('TIME LOG'!$B:$B,A62,'TIME LOG'!$C:$C))</f>
      </c>
      <c r="H62" s="9">
        <f>=IF(A62="","",IF(G62=0,"",IF(F62/G62&gt;1,1,F62/G62)))</f>
      </c>
      <c r="I62">
        <f>=IF(D62="Done",E62,"")</f>
      </c>
    </row>
    <row r="63" spans="7:9" x14ac:dyDescent="0.25">
      <c r="G63">
        <f>=IF(A63="","",SUMIF('TIME LOG'!$B:$B,A63,'TIME LOG'!$C:$C))</f>
      </c>
      <c r="H63" s="9">
        <f>=IF(A63="","",IF(G63=0,"",IF(F63/G63&gt;1,1,F63/G63)))</f>
      </c>
      <c r="I63">
        <f>=IF(D63="Done",E63,"")</f>
      </c>
    </row>
    <row r="64" spans="7:9" x14ac:dyDescent="0.25">
      <c r="G64">
        <f>=IF(A64="","",SUMIF('TIME LOG'!$B:$B,A64,'TIME LOG'!$C:$C))</f>
      </c>
      <c r="H64" s="9">
        <f>=IF(A64="","",IF(G64=0,"",IF(F64/G64&gt;1,1,F64/G64)))</f>
      </c>
      <c r="I64">
        <f>=IF(D64="Done",E64,"")</f>
      </c>
    </row>
    <row r="65" spans="7:9" x14ac:dyDescent="0.25">
      <c r="G65">
        <f>=IF(A65="","",SUMIF('TIME LOG'!$B:$B,A65,'TIME LOG'!$C:$C))</f>
      </c>
      <c r="H65" s="9">
        <f>=IF(A65="","",IF(G65=0,"",IF(F65/G65&gt;1,1,F65/G65)))</f>
      </c>
      <c r="I65">
        <f>=IF(D65="Done",E65,"")</f>
      </c>
    </row>
    <row r="66" spans="7:9" x14ac:dyDescent="0.25">
      <c r="G66">
        <f>=IF(A66="","",SUMIF('TIME LOG'!$B:$B,A66,'TIME LOG'!$C:$C))</f>
      </c>
      <c r="H66" s="9">
        <f>=IF(A66="","",IF(G66=0,"",IF(F66/G66&gt;1,1,F66/G66)))</f>
      </c>
      <c r="I66">
        <f>=IF(D66="Done",E66,"")</f>
      </c>
    </row>
    <row r="67" spans="7:9" x14ac:dyDescent="0.25">
      <c r="G67">
        <f>=IF(A67="","",SUMIF('TIME LOG'!$B:$B,A67,'TIME LOG'!$C:$C))</f>
      </c>
      <c r="H67" s="9">
        <f>=IF(A67="","",IF(G67=0,"",IF(F67/G67&gt;1,1,F67/G67)))</f>
      </c>
      <c r="I67">
        <f>=IF(D67="Done",E67,"")</f>
      </c>
    </row>
    <row r="68" spans="7:9" x14ac:dyDescent="0.25">
      <c r="G68">
        <f>=IF(A68="","",SUMIF('TIME LOG'!$B:$B,A68,'TIME LOG'!$C:$C))</f>
      </c>
      <c r="H68" s="9">
        <f>=IF(A68="","",IF(G68=0,"",IF(F68/G68&gt;1,1,F68/G68)))</f>
      </c>
      <c r="I68">
        <f>=IF(D68="Done",E68,"")</f>
      </c>
    </row>
    <row r="69" spans="7:9" x14ac:dyDescent="0.25">
      <c r="G69">
        <f>=IF(A69="","",SUMIF('TIME LOG'!$B:$B,A69,'TIME LOG'!$C:$C))</f>
      </c>
      <c r="H69" s="9">
        <f>=IF(A69="","",IF(G69=0,"",IF(F69/G69&gt;1,1,F69/G69)))</f>
      </c>
      <c r="I69">
        <f>=IF(D69="Done",E69,"")</f>
      </c>
    </row>
    <row r="70" spans="7:9" x14ac:dyDescent="0.25">
      <c r="G70">
        <f>=IF(A70="","",SUMIF('TIME LOG'!$B:$B,A70,'TIME LOG'!$C:$C))</f>
      </c>
      <c r="H70" s="9">
        <f>=IF(A70="","",IF(G70=0,"",IF(F70/G70&gt;1,1,F70/G70)))</f>
      </c>
      <c r="I70">
        <f>=IF(D70="Done",E70,"")</f>
      </c>
    </row>
    <row r="71" spans="7:9" x14ac:dyDescent="0.25">
      <c r="G71">
        <f>=IF(A71="","",SUMIF('TIME LOG'!$B:$B,A71,'TIME LOG'!$C:$C))</f>
      </c>
      <c r="H71" s="9">
        <f>=IF(A71="","",IF(G71=0,"",IF(F71/G71&gt;1,1,F71/G71)))</f>
      </c>
      <c r="I71">
        <f>=IF(D71="Done",E71,"")</f>
      </c>
    </row>
    <row r="72" spans="7:9" x14ac:dyDescent="0.25">
      <c r="G72">
        <f>=IF(A72="","",SUMIF('TIME LOG'!$B:$B,A72,'TIME LOG'!$C:$C))</f>
      </c>
      <c r="H72" s="9">
        <f>=IF(A72="","",IF(G72=0,"",IF(F72/G72&gt;1,1,F72/G72)))</f>
      </c>
      <c r="I72">
        <f>=IF(D72="Done",E72,"")</f>
      </c>
    </row>
    <row r="73" spans="7:9" x14ac:dyDescent="0.25">
      <c r="G73">
        <f>=IF(A73="","",SUMIF('TIME LOG'!$B:$B,A73,'TIME LOG'!$C:$C))</f>
      </c>
      <c r="H73" s="9">
        <f>=IF(A73="","",IF(G73=0,"",IF(F73/G73&gt;1,1,F73/G73)))</f>
      </c>
      <c r="I73">
        <f>=IF(D73="Done",E73,"")</f>
      </c>
    </row>
    <row r="74" spans="7:9" x14ac:dyDescent="0.25">
      <c r="G74">
        <f>=IF(A74="","",SUMIF('TIME LOG'!$B:$B,A74,'TIME LOG'!$C:$C))</f>
      </c>
      <c r="H74" s="9">
        <f>=IF(A74="","",IF(G74=0,"",IF(F74/G74&gt;1,1,F74/G74)))</f>
      </c>
      <c r="I74">
        <f>=IF(D74="Done",E74,"")</f>
      </c>
    </row>
    <row r="75" spans="7:9" x14ac:dyDescent="0.25">
      <c r="G75">
        <f>=IF(A75="","",SUMIF('TIME LOG'!$B:$B,A75,'TIME LOG'!$C:$C))</f>
      </c>
      <c r="H75" s="9">
        <f>=IF(A75="","",IF(G75=0,"",IF(F75/G75&gt;1,1,F75/G75)))</f>
      </c>
      <c r="I75">
        <f>=IF(D75="Done",E75,"")</f>
      </c>
    </row>
    <row r="76" spans="7:9" x14ac:dyDescent="0.25">
      <c r="G76">
        <f>=IF(A76="","",SUMIF('TIME LOG'!$B:$B,A76,'TIME LOG'!$C:$C))</f>
      </c>
      <c r="H76" s="9">
        <f>=IF(A76="","",IF(G76=0,"",IF(F76/G76&gt;1,1,F76/G76)))</f>
      </c>
      <c r="I76">
        <f>=IF(D76="Done",E76,"")</f>
      </c>
    </row>
    <row r="77" spans="7:9" x14ac:dyDescent="0.25">
      <c r="G77">
        <f>=IF(A77="","",SUMIF('TIME LOG'!$B:$B,A77,'TIME LOG'!$C:$C))</f>
      </c>
      <c r="H77" s="9">
        <f>=IF(A77="","",IF(G77=0,"",IF(F77/G77&gt;1,1,F77/G77)))</f>
      </c>
      <c r="I77">
        <f>=IF(D77="Done",E77,"")</f>
      </c>
    </row>
    <row r="78" spans="7:9" x14ac:dyDescent="0.25">
      <c r="G78">
        <f>=IF(A78="","",SUMIF('TIME LOG'!$B:$B,A78,'TIME LOG'!$C:$C))</f>
      </c>
      <c r="H78" s="9">
        <f>=IF(A78="","",IF(G78=0,"",IF(F78/G78&gt;1,1,F78/G78)))</f>
      </c>
      <c r="I78">
        <f>=IF(D78="Done",E78,"")</f>
      </c>
    </row>
    <row r="79" spans="7:9" x14ac:dyDescent="0.25">
      <c r="G79">
        <f>=IF(A79="","",SUMIF('TIME LOG'!$B:$B,A79,'TIME LOG'!$C:$C))</f>
      </c>
      <c r="H79" s="9">
        <f>=IF(A79="","",IF(G79=0,"",IF(F79/G79&gt;1,1,F79/G79)))</f>
      </c>
      <c r="I79">
        <f>=IF(D79="Done",E79,"")</f>
      </c>
    </row>
    <row r="80" spans="7:9" x14ac:dyDescent="0.25">
      <c r="G80">
        <f>=IF(A80="","",SUMIF('TIME LOG'!$B:$B,A80,'TIME LOG'!$C:$C))</f>
      </c>
      <c r="H80" s="9">
        <f>=IF(A80="","",IF(G80=0,"",IF(F80/G80&gt;1,1,F80/G80)))</f>
      </c>
      <c r="I80">
        <f>=IF(D80="Done",E80,"")</f>
      </c>
    </row>
    <row r="81" spans="7:9" x14ac:dyDescent="0.25">
      <c r="G81">
        <f>=IF(A81="","",SUMIF('TIME LOG'!$B:$B,A81,'TIME LOG'!$C:$C))</f>
      </c>
      <c r="H81" s="9">
        <f>=IF(A81="","",IF(G81=0,"",IF(F81/G81&gt;1,1,F81/G81)))</f>
      </c>
      <c r="I81">
        <f>=IF(D81="Done",E81,"")</f>
      </c>
    </row>
    <row r="82" spans="7:9" x14ac:dyDescent="0.25">
      <c r="G82">
        <f>=IF(A82="","",SUMIF('TIME LOG'!$B:$B,A82,'TIME LOG'!$C:$C))</f>
      </c>
      <c r="H82" s="9">
        <f>=IF(A82="","",IF(G82=0,"",IF(F82/G82&gt;1,1,F82/G82)))</f>
      </c>
      <c r="I82">
        <f>=IF(D82="Done",E82,"")</f>
      </c>
    </row>
    <row r="83" spans="7:9" x14ac:dyDescent="0.25">
      <c r="G83">
        <f>=IF(A83="","",SUMIF('TIME LOG'!$B:$B,A83,'TIME LOG'!$C:$C))</f>
      </c>
      <c r="H83" s="9">
        <f>=IF(A83="","",IF(G83=0,"",IF(F83/G83&gt;1,1,F83/G83)))</f>
      </c>
      <c r="I83">
        <f>=IF(D83="Done",E83,"")</f>
      </c>
    </row>
    <row r="84" spans="7:9" x14ac:dyDescent="0.25">
      <c r="G84">
        <f>=IF(A84="","",SUMIF('TIME LOG'!$B:$B,A84,'TIME LOG'!$C:$C))</f>
      </c>
      <c r="H84" s="9">
        <f>=IF(A84="","",IF(G84=0,"",IF(F84/G84&gt;1,1,F84/G84)))</f>
      </c>
      <c r="I84">
        <f>=IF(D84="Done",E84,"")</f>
      </c>
    </row>
    <row r="85" spans="7:9" x14ac:dyDescent="0.25">
      <c r="G85">
        <f>=IF(A85="","",SUMIF('TIME LOG'!$B:$B,A85,'TIME LOG'!$C:$C))</f>
      </c>
      <c r="H85" s="9">
        <f>=IF(A85="","",IF(G85=0,"",IF(F85/G85&gt;1,1,F85/G85)))</f>
      </c>
      <c r="I85">
        <f>=IF(D85="Done",E85,"")</f>
      </c>
    </row>
    <row r="86" spans="7:9" x14ac:dyDescent="0.25">
      <c r="G86">
        <f>=IF(A86="","",SUMIF('TIME LOG'!$B:$B,A86,'TIME LOG'!$C:$C))</f>
      </c>
      <c r="H86" s="9">
        <f>=IF(A86="","",IF(G86=0,"",IF(F86/G86&gt;1,1,F86/G86)))</f>
      </c>
      <c r="I86">
        <f>=IF(D86="Done",E86,"")</f>
      </c>
    </row>
    <row r="87" spans="7:9" x14ac:dyDescent="0.25">
      <c r="G87">
        <f>=IF(A87="","",SUMIF('TIME LOG'!$B:$B,A87,'TIME LOG'!$C:$C))</f>
      </c>
      <c r="H87" s="9">
        <f>=IF(A87="","",IF(G87=0,"",IF(F87/G87&gt;1,1,F87/G87)))</f>
      </c>
      <c r="I87">
        <f>=IF(D87="Done",E87,"")</f>
      </c>
    </row>
    <row r="88" spans="7:9" x14ac:dyDescent="0.25">
      <c r="G88">
        <f>=IF(A88="","",SUMIF('TIME LOG'!$B:$B,A88,'TIME LOG'!$C:$C))</f>
      </c>
      <c r="H88" s="9">
        <f>=IF(A88="","",IF(G88=0,"",IF(F88/G88&gt;1,1,F88/G88)))</f>
      </c>
      <c r="I88">
        <f>=IF(D88="Done",E88,"")</f>
      </c>
    </row>
    <row r="89" spans="7:9" x14ac:dyDescent="0.25">
      <c r="G89">
        <f>=IF(A89="","",SUMIF('TIME LOG'!$B:$B,A89,'TIME LOG'!$C:$C))</f>
      </c>
      <c r="H89" s="9">
        <f>=IF(A89="","",IF(G89=0,"",IF(F89/G89&gt;1,1,F89/G89)))</f>
      </c>
      <c r="I89">
        <f>=IF(D89="Done",E89,"")</f>
      </c>
    </row>
    <row r="90" spans="7:9" x14ac:dyDescent="0.25">
      <c r="G90">
        <f>=IF(A90="","",SUMIF('TIME LOG'!$B:$B,A90,'TIME LOG'!$C:$C))</f>
      </c>
      <c r="H90" s="9">
        <f>=IF(A90="","",IF(G90=0,"",IF(F90/G90&gt;1,1,F90/G90)))</f>
      </c>
      <c r="I90">
        <f>=IF(D90="Done",E90,"")</f>
      </c>
    </row>
    <row r="91" spans="7:9" x14ac:dyDescent="0.25">
      <c r="G91">
        <f>=IF(A91="","",SUMIF('TIME LOG'!$B:$B,A91,'TIME LOG'!$C:$C))</f>
      </c>
      <c r="H91" s="9">
        <f>=IF(A91="","",IF(G91=0,"",IF(F91/G91&gt;1,1,F91/G91)))</f>
      </c>
      <c r="I91">
        <f>=IF(D91="Done",E91,"")</f>
      </c>
    </row>
    <row r="92" spans="7:9" x14ac:dyDescent="0.25">
      <c r="G92">
        <f>=IF(A92="","",SUMIF('TIME LOG'!$B:$B,A92,'TIME LOG'!$C:$C))</f>
      </c>
      <c r="H92" s="9">
        <f>=IF(A92="","",IF(G92=0,"",IF(F92/G92&gt;1,1,F92/G92)))</f>
      </c>
      <c r="I92">
        <f>=IF(D92="Done",E92,"")</f>
      </c>
    </row>
    <row r="93" spans="7:9" x14ac:dyDescent="0.25">
      <c r="G93">
        <f>=IF(A93="","",SUMIF('TIME LOG'!$B:$B,A93,'TIME LOG'!$C:$C))</f>
      </c>
      <c r="H93" s="9">
        <f>=IF(A93="","",IF(G93=0,"",IF(F93/G93&gt;1,1,F93/G93)))</f>
      </c>
      <c r="I93">
        <f>=IF(D93="Done",E93,"")</f>
      </c>
    </row>
    <row r="94" spans="7:9" x14ac:dyDescent="0.25">
      <c r="G94">
        <f>=IF(A94="","",SUMIF('TIME LOG'!$B:$B,A94,'TIME LOG'!$C:$C))</f>
      </c>
      <c r="H94" s="9">
        <f>=IF(A94="","",IF(G94=0,"",IF(F94/G94&gt;1,1,F94/G94)))</f>
      </c>
      <c r="I94">
        <f>=IF(D94="Done",E94,"")</f>
      </c>
    </row>
    <row r="95" spans="7:9" x14ac:dyDescent="0.25">
      <c r="G95">
        <f>=IF(A95="","",SUMIF('TIME LOG'!$B:$B,A95,'TIME LOG'!$C:$C))</f>
      </c>
      <c r="H95" s="9">
        <f>=IF(A95="","",IF(G95=0,"",IF(F95/G95&gt;1,1,F95/G95)))</f>
      </c>
      <c r="I95">
        <f>=IF(D95="Done",E95,"")</f>
      </c>
    </row>
    <row r="96" spans="7:9" x14ac:dyDescent="0.25">
      <c r="G96">
        <f>=IF(A96="","",SUMIF('TIME LOG'!$B:$B,A96,'TIME LOG'!$C:$C))</f>
      </c>
      <c r="H96" s="9">
        <f>=IF(A96="","",IF(G96=0,"",IF(F96/G96&gt;1,1,F96/G96)))</f>
      </c>
      <c r="I96">
        <f>=IF(D96="Done",E96,"")</f>
      </c>
    </row>
    <row r="97" spans="7:9" x14ac:dyDescent="0.25">
      <c r="G97">
        <f>=IF(A97="","",SUMIF('TIME LOG'!$B:$B,A97,'TIME LOG'!$C:$C))</f>
      </c>
      <c r="H97" s="9">
        <f>=IF(A97="","",IF(G97=0,"",IF(F97/G97&gt;1,1,F97/G97)))</f>
      </c>
      <c r="I97">
        <f>=IF(D97="Done",E97,"")</f>
      </c>
    </row>
    <row r="98" spans="7:9" x14ac:dyDescent="0.25">
      <c r="G98">
        <f>=IF(A98="","",SUMIF('TIME LOG'!$B:$B,A98,'TIME LOG'!$C:$C))</f>
      </c>
      <c r="H98" s="9">
        <f>=IF(A98="","",IF(G98=0,"",IF(F98/G98&gt;1,1,F98/G98)))</f>
      </c>
      <c r="I98">
        <f>=IF(D98="Done",E98,"")</f>
      </c>
    </row>
    <row r="99" spans="7:9" x14ac:dyDescent="0.25">
      <c r="G99">
        <f>=IF(A99="","",SUMIF('TIME LOG'!$B:$B,A99,'TIME LOG'!$C:$C))</f>
      </c>
      <c r="H99" s="9">
        <f>=IF(A99="","",IF(G99=0,"",IF(F99/G99&gt;1,1,F99/G99)))</f>
      </c>
      <c r="I99">
        <f>=IF(D99="Done",E99,"")</f>
      </c>
    </row>
    <row r="100" spans="7:9" x14ac:dyDescent="0.25">
      <c r="G100">
        <f>=IF(A100="","",SUMIF('TIME LOG'!$B:$B,A100,'TIME LOG'!$C:$C))</f>
      </c>
      <c r="H100" s="9">
        <f>=IF(A100="","",IF(G100=0,"",IF(F100/G100&gt;1,1,F100/G100)))</f>
      </c>
      <c r="I100">
        <f>=IF(D100="Done",E100,"")</f>
      </c>
    </row>
    <row r="101" spans="7:9" x14ac:dyDescent="0.25">
      <c r="G101">
        <f>=IF(A101="","",SUMIF('TIME LOG'!$B:$B,A101,'TIME LOG'!$C:$C))</f>
      </c>
      <c r="H101" s="9">
        <f>=IF(A101="","",IF(G101=0,"",IF(F101/G101&gt;1,1,F101/G101)))</f>
      </c>
      <c r="I101">
        <f>=IF(D101="Done",E101,"")</f>
      </c>
    </row>
    <row r="102" spans="7:9" x14ac:dyDescent="0.25">
      <c r="G102">
        <f>=IF(A102="","",SUMIF('TIME LOG'!$B:$B,A102,'TIME LOG'!$C:$C))</f>
      </c>
      <c r="H102" s="9">
        <f>=IF(A102="","",IF(G102=0,"",IF(F102/G102&gt;1,1,F102/G102)))</f>
      </c>
      <c r="I102">
        <f>=IF(D102="Done",E102,"")</f>
      </c>
    </row>
    <row r="103" spans="7:9" x14ac:dyDescent="0.25">
      <c r="G103">
        <f>=IF(A103="","",SUMIF('TIME LOG'!$B:$B,A103,'TIME LOG'!$C:$C))</f>
      </c>
      <c r="H103" s="9">
        <f>=IF(A103="","",IF(G103=0,"",IF(F103/G103&gt;1,1,F103/G103)))</f>
      </c>
      <c r="I103">
        <f>=IF(D103="Done",E103,"")</f>
      </c>
    </row>
    <row r="104" spans="7:9" x14ac:dyDescent="0.25">
      <c r="G104">
        <f>=IF(A104="","",SUMIF('TIME LOG'!$B:$B,A104,'TIME LOG'!$C:$C))</f>
      </c>
      <c r="H104" s="9">
        <f>=IF(A104="","",IF(G104=0,"",IF(F104/G104&gt;1,1,F104/G104)))</f>
      </c>
      <c r="I104">
        <f>=IF(D104="Done",E104,"")</f>
      </c>
    </row>
    <row r="105" spans="7:9" x14ac:dyDescent="0.25">
      <c r="G105">
        <f>=IF(A105="","",SUMIF('TIME LOG'!$B:$B,A105,'TIME LOG'!$C:$C))</f>
      </c>
      <c r="H105" s="9">
        <f>=IF(A105="","",IF(G105=0,"",IF(F105/G105&gt;1,1,F105/G105)))</f>
      </c>
      <c r="I105">
        <f>=IF(D105="Done",E105,"")</f>
      </c>
    </row>
    <row r="106" spans="7:9" x14ac:dyDescent="0.25">
      <c r="G106">
        <f>=IF(A106="","",SUMIF('TIME LOG'!$B:$B,A106,'TIME LOG'!$C:$C))</f>
      </c>
      <c r="H106" s="9">
        <f>=IF(A106="","",IF(G106=0,"",IF(F106/G106&gt;1,1,F106/G106)))</f>
      </c>
      <c r="I106">
        <f>=IF(D106="Done",E106,"")</f>
      </c>
    </row>
    <row r="107" spans="7:9" x14ac:dyDescent="0.25">
      <c r="G107">
        <f>=IF(A107="","",SUMIF('TIME LOG'!$B:$B,A107,'TIME LOG'!$C:$C))</f>
      </c>
      <c r="H107" s="9">
        <f>=IF(A107="","",IF(G107=0,"",IF(F107/G107&gt;1,1,F107/G107)))</f>
      </c>
      <c r="I107">
        <f>=IF(D107="Done",E107,"")</f>
      </c>
    </row>
    <row r="108" spans="7:9" x14ac:dyDescent="0.25">
      <c r="G108">
        <f>=IF(A108="","",SUMIF('TIME LOG'!$B:$B,A108,'TIME LOG'!$C:$C))</f>
      </c>
      <c r="H108" s="9">
        <f>=IF(A108="","",IF(G108=0,"",IF(F108/G108&gt;1,1,F108/G108)))</f>
      </c>
      <c r="I108">
        <f>=IF(D108="Done",E108,"")</f>
      </c>
    </row>
    <row r="109" spans="7:9" x14ac:dyDescent="0.25">
      <c r="G109">
        <f>=IF(A109="","",SUMIF('TIME LOG'!$B:$B,A109,'TIME LOG'!$C:$C))</f>
      </c>
      <c r="H109" s="9">
        <f>=IF(A109="","",IF(G109=0,"",IF(F109/G109&gt;1,1,F109/G109)))</f>
      </c>
      <c r="I109">
        <f>=IF(D109="Done",E109,"")</f>
      </c>
    </row>
    <row r="110" spans="7:9" x14ac:dyDescent="0.25">
      <c r="G110">
        <f>=IF(A110="","",SUMIF('TIME LOG'!$B:$B,A110,'TIME LOG'!$C:$C))</f>
      </c>
      <c r="H110" s="9">
        <f>=IF(A110="","",IF(G110=0,"",IF(F110/G110&gt;1,1,F110/G110)))</f>
      </c>
      <c r="I110">
        <f>=IF(D110="Done",E110,"")</f>
      </c>
    </row>
    <row r="111" spans="7:9" x14ac:dyDescent="0.25">
      <c r="G111">
        <f>=IF(A111="","",SUMIF('TIME LOG'!$B:$B,A111,'TIME LOG'!$C:$C))</f>
      </c>
      <c r="H111" s="9">
        <f>=IF(A111="","",IF(G111=0,"",IF(F111/G111&gt;1,1,F111/G111)))</f>
      </c>
      <c r="I111">
        <f>=IF(D111="Done",E111,"")</f>
      </c>
    </row>
    <row r="112" spans="7:9" x14ac:dyDescent="0.25">
      <c r="G112">
        <f>=IF(A112="","",SUMIF('TIME LOG'!$B:$B,A112,'TIME LOG'!$C:$C))</f>
      </c>
      <c r="H112" s="9">
        <f>=IF(A112="","",IF(G112=0,"",IF(F112/G112&gt;1,1,F112/G112)))</f>
      </c>
      <c r="I112">
        <f>=IF(D112="Done",E112,"")</f>
      </c>
    </row>
    <row r="113" spans="7:9" x14ac:dyDescent="0.25">
      <c r="G113">
        <f>=IF(A113="","",SUMIF('TIME LOG'!$B:$B,A113,'TIME LOG'!$C:$C))</f>
      </c>
      <c r="H113" s="9">
        <f>=IF(A113="","",IF(G113=0,"",IF(F113/G113&gt;1,1,F113/G113)))</f>
      </c>
      <c r="I113">
        <f>=IF(D113="Done",E113,"")</f>
      </c>
    </row>
    <row r="114" spans="7:9" x14ac:dyDescent="0.25">
      <c r="G114">
        <f>=IF(A114="","",SUMIF('TIME LOG'!$B:$B,A114,'TIME LOG'!$C:$C))</f>
      </c>
      <c r="H114" s="9">
        <f>=IF(A114="","",IF(G114=0,"",IF(F114/G114&gt;1,1,F114/G114)))</f>
      </c>
      <c r="I114">
        <f>=IF(D114="Done",E114,"")</f>
      </c>
    </row>
    <row r="115" spans="7:9" x14ac:dyDescent="0.25">
      <c r="G115">
        <f>=IF(A115="","",SUMIF('TIME LOG'!$B:$B,A115,'TIME LOG'!$C:$C))</f>
      </c>
      <c r="H115" s="9">
        <f>=IF(A115="","",IF(G115=0,"",IF(F115/G115&gt;1,1,F115/G115)))</f>
      </c>
      <c r="I115">
        <f>=IF(D115="Done",E115,"")</f>
      </c>
    </row>
    <row r="116" spans="7:9" x14ac:dyDescent="0.25">
      <c r="G116">
        <f>=IF(A116="","",SUMIF('TIME LOG'!$B:$B,A116,'TIME LOG'!$C:$C))</f>
      </c>
      <c r="H116" s="9">
        <f>=IF(A116="","",IF(G116=0,"",IF(F116/G116&gt;1,1,F116/G116)))</f>
      </c>
      <c r="I116">
        <f>=IF(D116="Done",E116,"")</f>
      </c>
    </row>
    <row r="117" spans="7:9" x14ac:dyDescent="0.25">
      <c r="G117">
        <f>=IF(A117="","",SUMIF('TIME LOG'!$B:$B,A117,'TIME LOG'!$C:$C))</f>
      </c>
      <c r="H117" s="9">
        <f>=IF(A117="","",IF(G117=0,"",IF(F117/G117&gt;1,1,F117/G117)))</f>
      </c>
      <c r="I117">
        <f>=IF(D117="Done",E117,"")</f>
      </c>
    </row>
    <row r="118" spans="7:9" x14ac:dyDescent="0.25">
      <c r="G118">
        <f>=IF(A118="","",SUMIF('TIME LOG'!$B:$B,A118,'TIME LOG'!$C:$C))</f>
      </c>
      <c r="H118" s="9">
        <f>=IF(A118="","",IF(G118=0,"",IF(F118/G118&gt;1,1,F118/G118)))</f>
      </c>
      <c r="I118">
        <f>=IF(D118="Done",E118,"")</f>
      </c>
    </row>
    <row r="119" spans="7:9" x14ac:dyDescent="0.25">
      <c r="G119">
        <f>=IF(A119="","",SUMIF('TIME LOG'!$B:$B,A119,'TIME LOG'!$C:$C))</f>
      </c>
      <c r="H119" s="9">
        <f>=IF(A119="","",IF(G119=0,"",IF(F119/G119&gt;1,1,F119/G119)))</f>
      </c>
      <c r="I119">
        <f>=IF(D119="Done",E119,"")</f>
      </c>
    </row>
    <row r="120" spans="7:9" x14ac:dyDescent="0.25">
      <c r="G120">
        <f>=IF(A120="","",SUMIF('TIME LOG'!$B:$B,A120,'TIME LOG'!$C:$C))</f>
      </c>
      <c r="H120" s="9">
        <f>=IF(A120="","",IF(G120=0,"",IF(F120/G120&gt;1,1,F120/G120)))</f>
      </c>
      <c r="I120">
        <f>=IF(D120="Done",E120,"")</f>
      </c>
    </row>
    <row r="121" spans="7:9" x14ac:dyDescent="0.25">
      <c r="G121">
        <f>=IF(A121="","",SUMIF('TIME LOG'!$B:$B,A121,'TIME LOG'!$C:$C))</f>
      </c>
      <c r="H121" s="9">
        <f>=IF(A121="","",IF(G121=0,"",IF(F121/G121&gt;1,1,F121/G121)))</f>
      </c>
      <c r="I121">
        <f>=IF(D121="Done",E121,"")</f>
      </c>
    </row>
    <row r="122" spans="7:9" x14ac:dyDescent="0.25">
      <c r="G122">
        <f>=IF(A122="","",SUMIF('TIME LOG'!$B:$B,A122,'TIME LOG'!$C:$C))</f>
      </c>
      <c r="H122" s="9">
        <f>=IF(A122="","",IF(G122=0,"",IF(F122/G122&gt;1,1,F122/G122)))</f>
      </c>
      <c r="I122">
        <f>=IF(D122="Done",E122,"")</f>
      </c>
    </row>
    <row r="123" spans="7:9" x14ac:dyDescent="0.25">
      <c r="G123">
        <f>=IF(A123="","",SUMIF('TIME LOG'!$B:$B,A123,'TIME LOG'!$C:$C))</f>
      </c>
      <c r="H123" s="9">
        <f>=IF(A123="","",IF(G123=0,"",IF(F123/G123&gt;1,1,F123/G123)))</f>
      </c>
      <c r="I123">
        <f>=IF(D123="Done",E123,"")</f>
      </c>
    </row>
    <row r="124" spans="7:9" x14ac:dyDescent="0.25">
      <c r="G124">
        <f>=IF(A124="","",SUMIF('TIME LOG'!$B:$B,A124,'TIME LOG'!$C:$C))</f>
      </c>
      <c r="H124" s="9">
        <f>=IF(A124="","",IF(G124=0,"",IF(F124/G124&gt;1,1,F124/G124)))</f>
      </c>
      <c r="I124">
        <f>=IF(D124="Done",E124,"")</f>
      </c>
    </row>
    <row r="125" spans="7:9" x14ac:dyDescent="0.25">
      <c r="G125">
        <f>=IF(A125="","",SUMIF('TIME LOG'!$B:$B,A125,'TIME LOG'!$C:$C))</f>
      </c>
      <c r="H125" s="9">
        <f>=IF(A125="","",IF(G125=0,"",IF(F125/G125&gt;1,1,F125/G125)))</f>
      </c>
      <c r="I125">
        <f>=IF(D125="Done",E125,"")</f>
      </c>
    </row>
    <row r="126" spans="7:9" x14ac:dyDescent="0.25">
      <c r="G126">
        <f>=IF(A126="","",SUMIF('TIME LOG'!$B:$B,A126,'TIME LOG'!$C:$C))</f>
      </c>
      <c r="H126" s="9">
        <f>=IF(A126="","",IF(G126=0,"",IF(F126/G126&gt;1,1,F126/G126)))</f>
      </c>
      <c r="I126">
        <f>=IF(D126="Done",E126,"")</f>
      </c>
    </row>
    <row r="127" spans="7:9" x14ac:dyDescent="0.25">
      <c r="G127">
        <f>=IF(A127="","",SUMIF('TIME LOG'!$B:$B,A127,'TIME LOG'!$C:$C))</f>
      </c>
      <c r="H127" s="9">
        <f>=IF(A127="","",IF(G127=0,"",IF(F127/G127&gt;1,1,F127/G127)))</f>
      </c>
      <c r="I127">
        <f>=IF(D127="Done",E127,"")</f>
      </c>
    </row>
    <row r="128" spans="7:9" x14ac:dyDescent="0.25">
      <c r="G128">
        <f>=IF(A128="","",SUMIF('TIME LOG'!$B:$B,A128,'TIME LOG'!$C:$C))</f>
      </c>
      <c r="H128" s="9">
        <f>=IF(A128="","",IF(G128=0,"",IF(F128/G128&gt;1,1,F128/G128)))</f>
      </c>
      <c r="I128">
        <f>=IF(D128="Done",E128,"")</f>
      </c>
    </row>
    <row r="129" spans="7:9" x14ac:dyDescent="0.25">
      <c r="G129">
        <f>=IF(A129="","",SUMIF('TIME LOG'!$B:$B,A129,'TIME LOG'!$C:$C))</f>
      </c>
      <c r="H129" s="9">
        <f>=IF(A129="","",IF(G129=0,"",IF(F129/G129&gt;1,1,F129/G129)))</f>
      </c>
      <c r="I129">
        <f>=IF(D129="Done",E129,"")</f>
      </c>
    </row>
    <row r="130" spans="7:9" x14ac:dyDescent="0.25">
      <c r="G130">
        <f>=IF(A130="","",SUMIF('TIME LOG'!$B:$B,A130,'TIME LOG'!$C:$C))</f>
      </c>
      <c r="H130" s="9">
        <f>=IF(A130="","",IF(G130=0,"",IF(F130/G130&gt;1,1,F130/G130)))</f>
      </c>
      <c r="I130">
        <f>=IF(D130="Done",E130,"")</f>
      </c>
    </row>
    <row r="131" spans="7:9" x14ac:dyDescent="0.25">
      <c r="G131">
        <f>=IF(A131="","",SUMIF('TIME LOG'!$B:$B,A131,'TIME LOG'!$C:$C))</f>
      </c>
      <c r="H131" s="9">
        <f>=IF(A131="","",IF(G131=0,"",IF(F131/G131&gt;1,1,F131/G131)))</f>
      </c>
      <c r="I131">
        <f>=IF(D131="Done",E131,"")</f>
      </c>
    </row>
    <row r="132" spans="7:9" x14ac:dyDescent="0.25">
      <c r="G132">
        <f>=IF(A132="","",SUMIF('TIME LOG'!$B:$B,A132,'TIME LOG'!$C:$C))</f>
      </c>
      <c r="H132" s="9">
        <f>=IF(A132="","",IF(G132=0,"",IF(F132/G132&gt;1,1,F132/G132)))</f>
      </c>
      <c r="I132">
        <f>=IF(D132="Done",E132,"")</f>
      </c>
    </row>
    <row r="133" spans="7:9" x14ac:dyDescent="0.25">
      <c r="G133">
        <f>=IF(A133="","",SUMIF('TIME LOG'!$B:$B,A133,'TIME LOG'!$C:$C))</f>
      </c>
      <c r="H133" s="9">
        <f>=IF(A133="","",IF(G133=0,"",IF(F133/G133&gt;1,1,F133/G133)))</f>
      </c>
      <c r="I133">
        <f>=IF(D133="Done",E133,"")</f>
      </c>
    </row>
    <row r="134" spans="7:9" x14ac:dyDescent="0.25">
      <c r="G134">
        <f>=IF(A134="","",SUMIF('TIME LOG'!$B:$B,A134,'TIME LOG'!$C:$C))</f>
      </c>
      <c r="H134" s="9">
        <f>=IF(A134="","",IF(G134=0,"",IF(F134/G134&gt;1,1,F134/G134)))</f>
      </c>
      <c r="I134">
        <f>=IF(D134="Done",E134,"")</f>
      </c>
    </row>
    <row r="135" spans="7:9" x14ac:dyDescent="0.25">
      <c r="G135">
        <f>=IF(A135="","",SUMIF('TIME LOG'!$B:$B,A135,'TIME LOG'!$C:$C))</f>
      </c>
      <c r="H135" s="9">
        <f>=IF(A135="","",IF(G135=0,"",IF(F135/G135&gt;1,1,F135/G135)))</f>
      </c>
      <c r="I135">
        <f>=IF(D135="Done",E135,"")</f>
      </c>
    </row>
    <row r="136" spans="7:9" x14ac:dyDescent="0.25">
      <c r="G136">
        <f>=IF(A136="","",SUMIF('TIME LOG'!$B:$B,A136,'TIME LOG'!$C:$C))</f>
      </c>
      <c r="H136" s="9">
        <f>=IF(A136="","",IF(G136=0,"",IF(F136/G136&gt;1,1,F136/G136)))</f>
      </c>
      <c r="I136">
        <f>=IF(D136="Done",E136,"")</f>
      </c>
    </row>
    <row r="137" spans="7:9" x14ac:dyDescent="0.25">
      <c r="G137">
        <f>=IF(A137="","",SUMIF('TIME LOG'!$B:$B,A137,'TIME LOG'!$C:$C))</f>
      </c>
      <c r="H137" s="9">
        <f>=IF(A137="","",IF(G137=0,"",IF(F137/G137&gt;1,1,F137/G137)))</f>
      </c>
      <c r="I137">
        <f>=IF(D137="Done",E137,"")</f>
      </c>
    </row>
    <row r="138" spans="7:9" x14ac:dyDescent="0.25">
      <c r="G138">
        <f>=IF(A138="","",SUMIF('TIME LOG'!$B:$B,A138,'TIME LOG'!$C:$C))</f>
      </c>
      <c r="H138" s="9">
        <f>=IF(A138="","",IF(G138=0,"",IF(F138/G138&gt;1,1,F138/G138)))</f>
      </c>
      <c r="I138">
        <f>=IF(D138="Done",E138,"")</f>
      </c>
    </row>
    <row r="139" spans="7:9" x14ac:dyDescent="0.25">
      <c r="G139">
        <f>=IF(A139="","",SUMIF('TIME LOG'!$B:$B,A139,'TIME LOG'!$C:$C))</f>
      </c>
      <c r="H139" s="9">
        <f>=IF(A139="","",IF(G139=0,"",IF(F139/G139&gt;1,1,F139/G139)))</f>
      </c>
      <c r="I139">
        <f>=IF(D139="Done",E139,"")</f>
      </c>
    </row>
    <row r="140" spans="7:9" x14ac:dyDescent="0.25">
      <c r="G140">
        <f>=IF(A140="","",SUMIF('TIME LOG'!$B:$B,A140,'TIME LOG'!$C:$C))</f>
      </c>
      <c r="H140" s="9">
        <f>=IF(A140="","",IF(G140=0,"",IF(F140/G140&gt;1,1,F140/G140)))</f>
      </c>
      <c r="I140">
        <f>=IF(D140="Done",E140,"")</f>
      </c>
    </row>
    <row r="141" spans="7:9" x14ac:dyDescent="0.25">
      <c r="G141">
        <f>=IF(A141="","",SUMIF('TIME LOG'!$B:$B,A141,'TIME LOG'!$C:$C))</f>
      </c>
      <c r="H141" s="9">
        <f>=IF(A141="","",IF(G141=0,"",IF(F141/G141&gt;1,1,F141/G141)))</f>
      </c>
      <c r="I141">
        <f>=IF(D141="Done",E141,"")</f>
      </c>
    </row>
    <row r="142" spans="7:9" x14ac:dyDescent="0.25">
      <c r="G142">
        <f>=IF(A142="","",SUMIF('TIME LOG'!$B:$B,A142,'TIME LOG'!$C:$C))</f>
      </c>
      <c r="H142" s="9">
        <f>=IF(A142="","",IF(G142=0,"",IF(F142/G142&gt;1,1,F142/G142)))</f>
      </c>
      <c r="I142">
        <f>=IF(D142="Done",E142,"")</f>
      </c>
    </row>
    <row r="143" spans="7:9" x14ac:dyDescent="0.25">
      <c r="G143">
        <f>=IF(A143="","",SUMIF('TIME LOG'!$B:$B,A143,'TIME LOG'!$C:$C))</f>
      </c>
      <c r="H143" s="9">
        <f>=IF(A143="","",IF(G143=0,"",IF(F143/G143&gt;1,1,F143/G143)))</f>
      </c>
      <c r="I143">
        <f>=IF(D143="Done",E143,"")</f>
      </c>
    </row>
    <row r="144" spans="7:9" x14ac:dyDescent="0.25">
      <c r="G144">
        <f>=IF(A144="","",SUMIF('TIME LOG'!$B:$B,A144,'TIME LOG'!$C:$C))</f>
      </c>
      <c r="H144" s="9">
        <f>=IF(A144="","",IF(G144=0,"",IF(F144/G144&gt;1,1,F144/G144)))</f>
      </c>
      <c r="I144">
        <f>=IF(D144="Done",E144,"")</f>
      </c>
    </row>
    <row r="145" spans="7:9" x14ac:dyDescent="0.25">
      <c r="G145">
        <f>=IF(A145="","",SUMIF('TIME LOG'!$B:$B,A145,'TIME LOG'!$C:$C))</f>
      </c>
      <c r="H145" s="9">
        <f>=IF(A145="","",IF(G145=0,"",IF(F145/G145&gt;1,1,F145/G145)))</f>
      </c>
      <c r="I145">
        <f>=IF(D145="Done",E145,"")</f>
      </c>
    </row>
    <row r="146" spans="7:9" x14ac:dyDescent="0.25">
      <c r="G146">
        <f>=IF(A146="","",SUMIF('TIME LOG'!$B:$B,A146,'TIME LOG'!$C:$C))</f>
      </c>
      <c r="H146" s="9">
        <f>=IF(A146="","",IF(G146=0,"",IF(F146/G146&gt;1,1,F146/G146)))</f>
      </c>
      <c r="I146">
        <f>=IF(D146="Done",E146,"")</f>
      </c>
    </row>
    <row r="147" spans="7:9" x14ac:dyDescent="0.25">
      <c r="G147">
        <f>=IF(A147="","",SUMIF('TIME LOG'!$B:$B,A147,'TIME LOG'!$C:$C))</f>
      </c>
      <c r="H147" s="9">
        <f>=IF(A147="","",IF(G147=0,"",IF(F147/G147&gt;1,1,F147/G147)))</f>
      </c>
      <c r="I147">
        <f>=IF(D147="Done",E147,"")</f>
      </c>
    </row>
    <row r="148" spans="7:9" x14ac:dyDescent="0.25">
      <c r="G148">
        <f>=IF(A148="","",SUMIF('TIME LOG'!$B:$B,A148,'TIME LOG'!$C:$C))</f>
      </c>
      <c r="H148" s="9">
        <f>=IF(A148="","",IF(G148=0,"",IF(F148/G148&gt;1,1,F148/G148)))</f>
      </c>
      <c r="I148">
        <f>=IF(D148="Done",E148,"")</f>
      </c>
    </row>
    <row r="149" spans="7:9" x14ac:dyDescent="0.25">
      <c r="G149">
        <f>=IF(A149="","",SUMIF('TIME LOG'!$B:$B,A149,'TIME LOG'!$C:$C))</f>
      </c>
      <c r="H149" s="9">
        <f>=IF(A149="","",IF(G149=0,"",IF(F149/G149&gt;1,1,F149/G149)))</f>
      </c>
      <c r="I149">
        <f>=IF(D149="Done",E149,"")</f>
      </c>
    </row>
    <row r="150" spans="7:9" x14ac:dyDescent="0.25">
      <c r="G150">
        <f>=IF(A150="","",SUMIF('TIME LOG'!$B:$B,A150,'TIME LOG'!$C:$C))</f>
      </c>
      <c r="H150" s="9">
        <f>=IF(A150="","",IF(G150=0,"",IF(F150/G150&gt;1,1,F150/G150)))</f>
      </c>
      <c r="I150">
        <f>=IF(D150="Done",E150,"")</f>
      </c>
    </row>
    <row r="151" spans="7:9" x14ac:dyDescent="0.25">
      <c r="G151">
        <f>=IF(A151="","",SUMIF('TIME LOG'!$B:$B,A151,'TIME LOG'!$C:$C))</f>
      </c>
      <c r="H151" s="9">
        <f>=IF(A151="","",IF(G151=0,"",IF(F151/G151&gt;1,1,F151/G151)))</f>
      </c>
      <c r="I151">
        <f>=IF(D151="Done",E151,"")</f>
      </c>
    </row>
    <row r="152" spans="7:9" x14ac:dyDescent="0.25">
      <c r="G152">
        <f>=IF(A152="","",SUMIF('TIME LOG'!$B:$B,A152,'TIME LOG'!$C:$C))</f>
      </c>
      <c r="H152" s="9">
        <f>=IF(A152="","",IF(G152=0,"",IF(F152/G152&gt;1,1,F152/G152)))</f>
      </c>
      <c r="I152">
        <f>=IF(D152="Done",E152,"")</f>
      </c>
    </row>
    <row r="153" spans="7:9" x14ac:dyDescent="0.25">
      <c r="G153">
        <f>=IF(A153="","",SUMIF('TIME LOG'!$B:$B,A153,'TIME LOG'!$C:$C))</f>
      </c>
      <c r="H153" s="9">
        <f>=IF(A153="","",IF(G153=0,"",IF(F153/G153&gt;1,1,F153/G153)))</f>
      </c>
      <c r="I153">
        <f>=IF(D153="Done",E153,"")</f>
      </c>
    </row>
    <row r="154" spans="7:9" x14ac:dyDescent="0.25">
      <c r="G154">
        <f>=IF(A154="","",SUMIF('TIME LOG'!$B:$B,A154,'TIME LOG'!$C:$C))</f>
      </c>
      <c r="H154" s="9">
        <f>=IF(A154="","",IF(G154=0,"",IF(F154/G154&gt;1,1,F154/G154)))</f>
      </c>
      <c r="I154">
        <f>=IF(D154="Done",E154,"")</f>
      </c>
    </row>
    <row r="155" spans="7:9" x14ac:dyDescent="0.25">
      <c r="G155">
        <f>=IF(A155="","",SUMIF('TIME LOG'!$B:$B,A155,'TIME LOG'!$C:$C))</f>
      </c>
      <c r="H155" s="9">
        <f>=IF(A155="","",IF(G155=0,"",IF(F155/G155&gt;1,1,F155/G155)))</f>
      </c>
      <c r="I155">
        <f>=IF(D155="Done",E155,"")</f>
      </c>
    </row>
    <row r="156" spans="7:9" x14ac:dyDescent="0.25">
      <c r="G156">
        <f>=IF(A156="","",SUMIF('TIME LOG'!$B:$B,A156,'TIME LOG'!$C:$C))</f>
      </c>
      <c r="H156" s="9">
        <f>=IF(A156="","",IF(G156=0,"",IF(F156/G156&gt;1,1,F156/G156)))</f>
      </c>
      <c r="I156">
        <f>=IF(D156="Done",E156,"")</f>
      </c>
    </row>
    <row r="157" spans="7:9" x14ac:dyDescent="0.25">
      <c r="G157">
        <f>=IF(A157="","",SUMIF('TIME LOG'!$B:$B,A157,'TIME LOG'!$C:$C))</f>
      </c>
      <c r="H157" s="9">
        <f>=IF(A157="","",IF(G157=0,"",IF(F157/G157&gt;1,1,F157/G157)))</f>
      </c>
      <c r="I157">
        <f>=IF(D157="Done",E157,"")</f>
      </c>
    </row>
    <row r="158" spans="7:9" x14ac:dyDescent="0.25">
      <c r="G158">
        <f>=IF(A158="","",SUMIF('TIME LOG'!$B:$B,A158,'TIME LOG'!$C:$C))</f>
      </c>
      <c r="H158" s="9">
        <f>=IF(A158="","",IF(G158=0,"",IF(F158/G158&gt;1,1,F158/G158)))</f>
      </c>
      <c r="I158">
        <f>=IF(D158="Done",E158,"")</f>
      </c>
    </row>
    <row r="159" spans="7:9" x14ac:dyDescent="0.25">
      <c r="G159">
        <f>=IF(A159="","",SUMIF('TIME LOG'!$B:$B,A159,'TIME LOG'!$C:$C))</f>
      </c>
      <c r="H159" s="9">
        <f>=IF(A159="","",IF(G159=0,"",IF(F159/G159&gt;1,1,F159/G159)))</f>
      </c>
      <c r="I159">
        <f>=IF(D159="Done",E159,"")</f>
      </c>
    </row>
    <row r="160" spans="7:9" x14ac:dyDescent="0.25">
      <c r="G160">
        <f>=IF(A160="","",SUMIF('TIME LOG'!$B:$B,A160,'TIME LOG'!$C:$C))</f>
      </c>
      <c r="H160" s="9">
        <f>=IF(A160="","",IF(G160=0,"",IF(F160/G160&gt;1,1,F160/G160)))</f>
      </c>
      <c r="I160">
        <f>=IF(D160="Done",E160,"")</f>
      </c>
    </row>
    <row r="161" spans="7:9" x14ac:dyDescent="0.25">
      <c r="G161">
        <f>=IF(A161="","",SUMIF('TIME LOG'!$B:$B,A161,'TIME LOG'!$C:$C))</f>
      </c>
      <c r="H161" s="9">
        <f>=IF(A161="","",IF(G161=0,"",IF(F161/G161&gt;1,1,F161/G161)))</f>
      </c>
      <c r="I161">
        <f>=IF(D161="Done",E161,"")</f>
      </c>
    </row>
    <row r="162" spans="7:9" x14ac:dyDescent="0.25">
      <c r="G162">
        <f>=IF(A162="","",SUMIF('TIME LOG'!$B:$B,A162,'TIME LOG'!$C:$C))</f>
      </c>
      <c r="H162" s="9">
        <f>=IF(A162="","",IF(G162=0,"",IF(F162/G162&gt;1,1,F162/G162)))</f>
      </c>
      <c r="I162">
        <f>=IF(D162="Done",E162,"")</f>
      </c>
    </row>
    <row r="163" spans="7:9" x14ac:dyDescent="0.25">
      <c r="G163">
        <f>=IF(A163="","",SUMIF('TIME LOG'!$B:$B,A163,'TIME LOG'!$C:$C))</f>
      </c>
      <c r="H163" s="9">
        <f>=IF(A163="","",IF(G163=0,"",IF(F163/G163&gt;1,1,F163/G163)))</f>
      </c>
      <c r="I163">
        <f>=IF(D163="Done",E163,"")</f>
      </c>
    </row>
    <row r="164" spans="7:9" x14ac:dyDescent="0.25">
      <c r="G164">
        <f>=IF(A164="","",SUMIF('TIME LOG'!$B:$B,A164,'TIME LOG'!$C:$C))</f>
      </c>
      <c r="H164" s="9">
        <f>=IF(A164="","",IF(G164=0,"",IF(F164/G164&gt;1,1,F164/G164)))</f>
      </c>
      <c r="I164">
        <f>=IF(D164="Done",E164,"")</f>
      </c>
    </row>
    <row r="165" spans="7:9" x14ac:dyDescent="0.25">
      <c r="G165">
        <f>=IF(A165="","",SUMIF('TIME LOG'!$B:$B,A165,'TIME LOG'!$C:$C))</f>
      </c>
      <c r="H165" s="9">
        <f>=IF(A165="","",IF(G165=0,"",IF(F165/G165&gt;1,1,F165/G165)))</f>
      </c>
      <c r="I165">
        <f>=IF(D165="Done",E165,"")</f>
      </c>
    </row>
    <row r="166" spans="7:9" x14ac:dyDescent="0.25">
      <c r="G166">
        <f>=IF(A166="","",SUMIF('TIME LOG'!$B:$B,A166,'TIME LOG'!$C:$C))</f>
      </c>
      <c r="H166" s="9">
        <f>=IF(A166="","",IF(G166=0,"",IF(F166/G166&gt;1,1,F166/G166)))</f>
      </c>
      <c r="I166">
        <f>=IF(D166="Done",E166,"")</f>
      </c>
    </row>
    <row r="167" spans="7:9" x14ac:dyDescent="0.25">
      <c r="G167">
        <f>=IF(A167="","",SUMIF('TIME LOG'!$B:$B,A167,'TIME LOG'!$C:$C))</f>
      </c>
      <c r="H167" s="9">
        <f>=IF(A167="","",IF(G167=0,"",IF(F167/G167&gt;1,1,F167/G167)))</f>
      </c>
      <c r="I167">
        <f>=IF(D167="Done",E167,"")</f>
      </c>
    </row>
    <row r="168" spans="7:9" x14ac:dyDescent="0.25">
      <c r="G168">
        <f>=IF(A168="","",SUMIF('TIME LOG'!$B:$B,A168,'TIME LOG'!$C:$C))</f>
      </c>
      <c r="H168" s="9">
        <f>=IF(A168="","",IF(G168=0,"",IF(F168/G168&gt;1,1,F168/G168)))</f>
      </c>
      <c r="I168">
        <f>=IF(D168="Done",E168,"")</f>
      </c>
    </row>
    <row r="169" spans="7:9" x14ac:dyDescent="0.25">
      <c r="G169">
        <f>=IF(A169="","",SUMIF('TIME LOG'!$B:$B,A169,'TIME LOG'!$C:$C))</f>
      </c>
      <c r="H169" s="9">
        <f>=IF(A169="","",IF(G169=0,"",IF(F169/G169&gt;1,1,F169/G169)))</f>
      </c>
      <c r="I169">
        <f>=IF(D169="Done",E169,"")</f>
      </c>
    </row>
    <row r="170" spans="7:9" x14ac:dyDescent="0.25">
      <c r="G170">
        <f>=IF(A170="","",SUMIF('TIME LOG'!$B:$B,A170,'TIME LOG'!$C:$C))</f>
      </c>
      <c r="H170" s="9">
        <f>=IF(A170="","",IF(G170=0,"",IF(F170/G170&gt;1,1,F170/G170)))</f>
      </c>
      <c r="I170">
        <f>=IF(D170="Done",E170,"")</f>
      </c>
    </row>
    <row r="171" spans="7:9" x14ac:dyDescent="0.25">
      <c r="G171">
        <f>=IF(A171="","",SUMIF('TIME LOG'!$B:$B,A171,'TIME LOG'!$C:$C))</f>
      </c>
      <c r="H171" s="9">
        <f>=IF(A171="","",IF(G171=0,"",IF(F171/G171&gt;1,1,F171/G171)))</f>
      </c>
      <c r="I171">
        <f>=IF(D171="Done",E171,"")</f>
      </c>
    </row>
    <row r="172" spans="7:9" x14ac:dyDescent="0.25">
      <c r="G172">
        <f>=IF(A172="","",SUMIF('TIME LOG'!$B:$B,A172,'TIME LOG'!$C:$C))</f>
      </c>
      <c r="H172" s="9">
        <f>=IF(A172="","",IF(G172=0,"",IF(F172/G172&gt;1,1,F172/G172)))</f>
      </c>
      <c r="I172">
        <f>=IF(D172="Done",E172,"")</f>
      </c>
    </row>
    <row r="173" spans="7:9" x14ac:dyDescent="0.25">
      <c r="G173">
        <f>=IF(A173="","",SUMIF('TIME LOG'!$B:$B,A173,'TIME LOG'!$C:$C))</f>
      </c>
      <c r="H173" s="9">
        <f>=IF(A173="","",IF(G173=0,"",IF(F173/G173&gt;1,1,F173/G173)))</f>
      </c>
      <c r="I173">
        <f>=IF(D173="Done",E173,"")</f>
      </c>
    </row>
    <row r="174" spans="7:9" x14ac:dyDescent="0.25">
      <c r="G174">
        <f>=IF(A174="","",SUMIF('TIME LOG'!$B:$B,A174,'TIME LOG'!$C:$C))</f>
      </c>
      <c r="H174" s="9">
        <f>=IF(A174="","",IF(G174=0,"",IF(F174/G174&gt;1,1,F174/G174)))</f>
      </c>
      <c r="I174">
        <f>=IF(D174="Done",E174,"")</f>
      </c>
    </row>
    <row r="175" spans="7:9" x14ac:dyDescent="0.25">
      <c r="G175">
        <f>=IF(A175="","",SUMIF('TIME LOG'!$B:$B,A175,'TIME LOG'!$C:$C))</f>
      </c>
      <c r="H175" s="9">
        <f>=IF(A175="","",IF(G175=0,"",IF(F175/G175&gt;1,1,F175/G175)))</f>
      </c>
      <c r="I175">
        <f>=IF(D175="Done",E175,"")</f>
      </c>
    </row>
    <row r="176" spans="7:9" x14ac:dyDescent="0.25">
      <c r="G176">
        <f>=IF(A176="","",SUMIF('TIME LOG'!$B:$B,A176,'TIME LOG'!$C:$C))</f>
      </c>
      <c r="H176" s="9">
        <f>=IF(A176="","",IF(G176=0,"",IF(F176/G176&gt;1,1,F176/G176)))</f>
      </c>
      <c r="I176">
        <f>=IF(D176="Done",E176,"")</f>
      </c>
    </row>
    <row r="177" spans="7:9" x14ac:dyDescent="0.25">
      <c r="G177">
        <f>=IF(A177="","",SUMIF('TIME LOG'!$B:$B,A177,'TIME LOG'!$C:$C))</f>
      </c>
      <c r="H177" s="9">
        <f>=IF(A177="","",IF(G177=0,"",IF(F177/G177&gt;1,1,F177/G177)))</f>
      </c>
      <c r="I177">
        <f>=IF(D177="Done",E177,"")</f>
      </c>
    </row>
    <row r="178" spans="7:9" x14ac:dyDescent="0.25">
      <c r="G178">
        <f>=IF(A178="","",SUMIF('TIME LOG'!$B:$B,A178,'TIME LOG'!$C:$C))</f>
      </c>
      <c r="H178" s="9">
        <f>=IF(A178="","",IF(G178=0,"",IF(F178/G178&gt;1,1,F178/G178)))</f>
      </c>
      <c r="I178">
        <f>=IF(D178="Done",E178,"")</f>
      </c>
    </row>
    <row r="179" spans="7:9" x14ac:dyDescent="0.25">
      <c r="G179">
        <f>=IF(A179="","",SUMIF('TIME LOG'!$B:$B,A179,'TIME LOG'!$C:$C))</f>
      </c>
      <c r="H179" s="9">
        <f>=IF(A179="","",IF(G179=0,"",IF(F179/G179&gt;1,1,F179/G179)))</f>
      </c>
      <c r="I179">
        <f>=IF(D179="Done",E179,"")</f>
      </c>
    </row>
    <row r="180" spans="7:9" x14ac:dyDescent="0.25">
      <c r="G180">
        <f>=IF(A180="","",SUMIF('TIME LOG'!$B:$B,A180,'TIME LOG'!$C:$C))</f>
      </c>
      <c r="H180" s="9">
        <f>=IF(A180="","",IF(G180=0,"",IF(F180/G180&gt;1,1,F180/G180)))</f>
      </c>
      <c r="I180">
        <f>=IF(D180="Done",E180,"")</f>
      </c>
    </row>
    <row r="181" spans="7:9" x14ac:dyDescent="0.25">
      <c r="G181">
        <f>=IF(A181="","",SUMIF('TIME LOG'!$B:$B,A181,'TIME LOG'!$C:$C))</f>
      </c>
      <c r="H181" s="9">
        <f>=IF(A181="","",IF(G181=0,"",IF(F181/G181&gt;1,1,F181/G181)))</f>
      </c>
      <c r="I181">
        <f>=IF(D181="Done",E181,"")</f>
      </c>
    </row>
    <row r="182" spans="7:9" x14ac:dyDescent="0.25">
      <c r="G182">
        <f>=IF(A182="","",SUMIF('TIME LOG'!$B:$B,A182,'TIME LOG'!$C:$C))</f>
      </c>
      <c r="H182" s="9">
        <f>=IF(A182="","",IF(G182=0,"",IF(F182/G182&gt;1,1,F182/G182)))</f>
      </c>
      <c r="I182">
        <f>=IF(D182="Done",E182,"")</f>
      </c>
    </row>
    <row r="183" spans="7:9" x14ac:dyDescent="0.25">
      <c r="G183">
        <f>=IF(A183="","",SUMIF('TIME LOG'!$B:$B,A183,'TIME LOG'!$C:$C))</f>
      </c>
      <c r="H183" s="9">
        <f>=IF(A183="","",IF(G183=0,"",IF(F183/G183&gt;1,1,F183/G183)))</f>
      </c>
      <c r="I183">
        <f>=IF(D183="Done",E183,"")</f>
      </c>
    </row>
    <row r="184" spans="7:9" x14ac:dyDescent="0.25">
      <c r="G184">
        <f>=IF(A184="","",SUMIF('TIME LOG'!$B:$B,A184,'TIME LOG'!$C:$C))</f>
      </c>
      <c r="H184" s="9">
        <f>=IF(A184="","",IF(G184=0,"",IF(F184/G184&gt;1,1,F184/G184)))</f>
      </c>
      <c r="I184">
        <f>=IF(D184="Done",E184,"")</f>
      </c>
    </row>
    <row r="185" spans="7:9" x14ac:dyDescent="0.25">
      <c r="G185">
        <f>=IF(A185="","",SUMIF('TIME LOG'!$B:$B,A185,'TIME LOG'!$C:$C))</f>
      </c>
      <c r="H185" s="9">
        <f>=IF(A185="","",IF(G185=0,"",IF(F185/G185&gt;1,1,F185/G185)))</f>
      </c>
      <c r="I185">
        <f>=IF(D185="Done",E185,"")</f>
      </c>
    </row>
    <row r="186" spans="7:9" x14ac:dyDescent="0.25">
      <c r="G186">
        <f>=IF(A186="","",SUMIF('TIME LOG'!$B:$B,A186,'TIME LOG'!$C:$C))</f>
      </c>
      <c r="H186" s="9">
        <f>=IF(A186="","",IF(G186=0,"",IF(F186/G186&gt;1,1,F186/G186)))</f>
      </c>
      <c r="I186">
        <f>=IF(D186="Done",E186,"")</f>
      </c>
    </row>
    <row r="187" spans="7:9" x14ac:dyDescent="0.25">
      <c r="G187">
        <f>=IF(A187="","",SUMIF('TIME LOG'!$B:$B,A187,'TIME LOG'!$C:$C))</f>
      </c>
      <c r="H187" s="9">
        <f>=IF(A187="","",IF(G187=0,"",IF(F187/G187&gt;1,1,F187/G187)))</f>
      </c>
      <c r="I187">
        <f>=IF(D187="Done",E187,"")</f>
      </c>
    </row>
    <row r="188" spans="7:9" x14ac:dyDescent="0.25">
      <c r="G188">
        <f>=IF(A188="","",SUMIF('TIME LOG'!$B:$B,A188,'TIME LOG'!$C:$C))</f>
      </c>
      <c r="H188" s="9">
        <f>=IF(A188="","",IF(G188=0,"",IF(F188/G188&gt;1,1,F188/G188)))</f>
      </c>
      <c r="I188">
        <f>=IF(D188="Done",E188,"")</f>
      </c>
    </row>
    <row r="189" spans="7:9" x14ac:dyDescent="0.25">
      <c r="G189">
        <f>=IF(A189="","",SUMIF('TIME LOG'!$B:$B,A189,'TIME LOG'!$C:$C))</f>
      </c>
      <c r="H189" s="9">
        <f>=IF(A189="","",IF(G189=0,"",IF(F189/G189&gt;1,1,F189/G189)))</f>
      </c>
      <c r="I189">
        <f>=IF(D189="Done",E189,"")</f>
      </c>
    </row>
    <row r="190" spans="7:9" x14ac:dyDescent="0.25">
      <c r="G190">
        <f>=IF(A190="","",SUMIF('TIME LOG'!$B:$B,A190,'TIME LOG'!$C:$C))</f>
      </c>
      <c r="H190" s="9">
        <f>=IF(A190="","",IF(G190=0,"",IF(F190/G190&gt;1,1,F190/G190)))</f>
      </c>
      <c r="I190">
        <f>=IF(D190="Done",E190,"")</f>
      </c>
    </row>
    <row r="191" spans="7:9" x14ac:dyDescent="0.25">
      <c r="G191">
        <f>=IF(A191="","",SUMIF('TIME LOG'!$B:$B,A191,'TIME LOG'!$C:$C))</f>
      </c>
      <c r="H191" s="9">
        <f>=IF(A191="","",IF(G191=0,"",IF(F191/G191&gt;1,1,F191/G191)))</f>
      </c>
      <c r="I191">
        <f>=IF(D191="Done",E191,"")</f>
      </c>
    </row>
    <row r="192" spans="7:9" x14ac:dyDescent="0.25">
      <c r="G192">
        <f>=IF(A192="","",SUMIF('TIME LOG'!$B:$B,A192,'TIME LOG'!$C:$C))</f>
      </c>
      <c r="H192" s="9">
        <f>=IF(A192="","",IF(G192=0,"",IF(F192/G192&gt;1,1,F192/G192)))</f>
      </c>
      <c r="I192">
        <f>=IF(D192="Done",E192,"")</f>
      </c>
    </row>
    <row r="193" spans="7:9" x14ac:dyDescent="0.25">
      <c r="G193">
        <f>=IF(A193="","",SUMIF('TIME LOG'!$B:$B,A193,'TIME LOG'!$C:$C))</f>
      </c>
      <c r="H193" s="9">
        <f>=IF(A193="","",IF(G193=0,"",IF(F193/G193&gt;1,1,F193/G193)))</f>
      </c>
      <c r="I193">
        <f>=IF(D193="Done",E193,"")</f>
      </c>
    </row>
    <row r="194" spans="7:9" x14ac:dyDescent="0.25">
      <c r="G194">
        <f>=IF(A194="","",SUMIF('TIME LOG'!$B:$B,A194,'TIME LOG'!$C:$C))</f>
      </c>
      <c r="H194" s="9">
        <f>=IF(A194="","",IF(G194=0,"",IF(F194/G194&gt;1,1,F194/G194)))</f>
      </c>
      <c r="I194">
        <f>=IF(D194="Done",E194,"")</f>
      </c>
    </row>
    <row r="195" spans="7:9" x14ac:dyDescent="0.25">
      <c r="G195">
        <f>=IF(A195="","",SUMIF('TIME LOG'!$B:$B,A195,'TIME LOG'!$C:$C))</f>
      </c>
      <c r="H195" s="9">
        <f>=IF(A195="","",IF(G195=0,"",IF(F195/G195&gt;1,1,F195/G195)))</f>
      </c>
      <c r="I195">
        <f>=IF(D195="Done",E195,"")</f>
      </c>
    </row>
    <row r="196" spans="7:9" x14ac:dyDescent="0.25">
      <c r="G196">
        <f>=IF(A196="","",SUMIF('TIME LOG'!$B:$B,A196,'TIME LOG'!$C:$C))</f>
      </c>
      <c r="H196" s="9">
        <f>=IF(A196="","",IF(G196=0,"",IF(F196/G196&gt;1,1,F196/G196)))</f>
      </c>
      <c r="I196">
        <f>=IF(D196="Done",E196,"")</f>
      </c>
    </row>
    <row r="197" spans="7:9" x14ac:dyDescent="0.25">
      <c r="G197">
        <f>=IF(A197="","",SUMIF('TIME LOG'!$B:$B,A197,'TIME LOG'!$C:$C))</f>
      </c>
      <c r="H197" s="9">
        <f>=IF(A197="","",IF(G197=0,"",IF(F197/G197&gt;1,1,F197/G197)))</f>
      </c>
      <c r="I197">
        <f>=IF(D197="Done",E197,"")</f>
      </c>
    </row>
    <row r="198" spans="7:9" x14ac:dyDescent="0.25">
      <c r="G198">
        <f>=IF(A198="","",SUMIF('TIME LOG'!$B:$B,A198,'TIME LOG'!$C:$C))</f>
      </c>
      <c r="H198" s="9">
        <f>=IF(A198="","",IF(G198=0,"",IF(F198/G198&gt;1,1,F198/G198)))</f>
      </c>
      <c r="I198">
        <f>=IF(D198="Done",E198,"")</f>
      </c>
    </row>
    <row r="199" spans="7:9" x14ac:dyDescent="0.25">
      <c r="G199">
        <f>=IF(A199="","",SUMIF('TIME LOG'!$B:$B,A199,'TIME LOG'!$C:$C))</f>
      </c>
      <c r="H199" s="9">
        <f>=IF(A199="","",IF(G199=0,"",IF(F199/G199&gt;1,1,F199/G199)))</f>
      </c>
      <c r="I199">
        <f>=IF(D199="Done",E199,"")</f>
      </c>
    </row>
    <row r="200" spans="7:9" x14ac:dyDescent="0.25">
      <c r="G200">
        <f>=IF(A200="","",SUMIF('TIME LOG'!$B:$B,A200,'TIME LOG'!$C:$C))</f>
      </c>
      <c r="H200" s="9">
        <f>=IF(A200="","",IF(G200=0,"",IF(F200/G200&gt;1,1,F200/G200)))</f>
      </c>
      <c r="I200">
        <f>=IF(D200="Done",E200,"")</f>
      </c>
    </row>
  </sheetData>
  <dataValidations count="3">
    <dataValidation type="list" allowBlank="1" sqref="B2:B200">
      <formula1>"Work,Personal,Learning"</formula1>
    </dataValidation>
    <dataValidation type="list" allowBlank="1" sqref="C2:C200">
      <formula1>"High,Medium,Low"</formula1>
    </dataValidation>
    <dataValidation type="list" allowBlank="1" sqref="D2:D200">
      <formula1>"To Do,In Progress,Done"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4" customWidth="1"/>
  </cols>
  <sheetData>
    <row r="1" spans="1:5" x14ac:dyDescent="0.25">
      <c r="A1" s="2" t="s">
        <v>47</v>
      </c>
      <c r="B1" s="2" t="s">
        <v>36</v>
      </c>
      <c r="C1" s="2" t="s">
        <v>48</v>
      </c>
      <c r="E1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5" width="10" customWidth="1"/>
    <col min="6" max="6" width="12" customWidth="1"/>
    <col min="7" max="7" width="14" customWidth="1"/>
  </cols>
  <sheetData>
    <row r="1" spans="1:7" x14ac:dyDescent="0.25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39</v>
      </c>
    </row>
    <row r="2" spans="6:7" x14ac:dyDescent="0.25">
      <c r="F2" s="9">
        <f>=IF(A2="","",AVERAGE(C2:E2))</f>
      </c>
      <c r="G2">
        <f>=IF(F2="","",IF(F2&gt;=1,"Completed",IF(F2&gt;=0.7,"On Track","At Risk")))</f>
      </c>
    </row>
    <row r="3" spans="6:7" x14ac:dyDescent="0.25">
      <c r="F3" s="9">
        <f>=IF(A3="","",AVERAGE(C3:E3))</f>
      </c>
      <c r="G3">
        <f>=IF(F3="","",IF(F3&gt;=1,"Completed",IF(F3&gt;=0.7,"On Track","At Risk")))</f>
      </c>
    </row>
    <row r="4" spans="6:7" x14ac:dyDescent="0.25">
      <c r="F4" s="9">
        <f>=IF(A4="","",AVERAGE(C4:E4))</f>
      </c>
      <c r="G4">
        <f>=IF(F4="","",IF(F4&gt;=1,"Completed",IF(F4&gt;=0.7,"On Track","At Risk")))</f>
      </c>
    </row>
    <row r="5" spans="6:7" x14ac:dyDescent="0.25">
      <c r="F5" s="9">
        <f>=IF(A5="","",AVERAGE(C5:E5))</f>
      </c>
      <c r="G5">
        <f>=IF(F5="","",IF(F5&gt;=1,"Completed",IF(F5&gt;=0.7,"On Track","At Risk")))</f>
      </c>
    </row>
    <row r="6" spans="6:7" x14ac:dyDescent="0.25">
      <c r="F6" s="9">
        <f>=IF(A6="","",AVERAGE(C6:E6))</f>
      </c>
      <c r="G6">
        <f>=IF(F6="","",IF(F6&gt;=1,"Completed",IF(F6&gt;=0.7,"On Track","At Risk")))</f>
      </c>
    </row>
    <row r="7" spans="6:7" x14ac:dyDescent="0.25">
      <c r="F7" s="9">
        <f>=IF(A7="","",AVERAGE(C7:E7))</f>
      </c>
      <c r="G7">
        <f>=IF(F7="","",IF(F7&gt;=1,"Completed",IF(F7&gt;=0.7,"On Track","At Risk")))</f>
      </c>
    </row>
    <row r="8" spans="6:7" x14ac:dyDescent="0.25">
      <c r="F8" s="9">
        <f>=IF(A8="","",AVERAGE(C8:E8))</f>
      </c>
      <c r="G8">
        <f>=IF(F8="","",IF(F8&gt;=1,"Completed",IF(F8&gt;=0.7,"On Track","At Risk")))</f>
      </c>
    </row>
    <row r="9" spans="6:7" x14ac:dyDescent="0.25">
      <c r="F9" s="9">
        <f>=IF(A9="","",AVERAGE(C9:E9))</f>
      </c>
      <c r="G9">
        <f>=IF(F9="","",IF(F9&gt;=1,"Completed",IF(F9&gt;=0.7,"On Track","At Risk")))</f>
      </c>
    </row>
    <row r="10" spans="6:7" x14ac:dyDescent="0.25">
      <c r="F10" s="9">
        <f>=IF(A10="","",AVERAGE(C10:E10))</f>
      </c>
      <c r="G10">
        <f>=IF(F10="","",IF(F10&gt;=1,"Completed",IF(F10&gt;=0.7,"On Track","At Risk")))</f>
      </c>
    </row>
    <row r="11" spans="6:7" x14ac:dyDescent="0.25">
      <c r="F11" s="9">
        <f>=IF(A11="","",AVERAGE(C11:E11))</f>
      </c>
      <c r="G11">
        <f>=IF(F11="","",IF(F11&gt;=1,"Completed",IF(F11&gt;=0.7,"On Track","At Risk")))</f>
      </c>
    </row>
    <row r="12" spans="6:7" x14ac:dyDescent="0.25">
      <c r="F12" s="9">
        <f>=IF(A12="","",AVERAGE(C12:E12))</f>
      </c>
      <c r="G12">
        <f>=IF(F12="","",IF(F12&gt;=1,"Completed",IF(F12&gt;=0.7,"On Track","At Risk")))</f>
      </c>
    </row>
    <row r="13" spans="6:7" x14ac:dyDescent="0.25">
      <c r="F13" s="9">
        <f>=IF(A13="","",AVERAGE(C13:E13))</f>
      </c>
      <c r="G13">
        <f>=IF(F13="","",IF(F13&gt;=1,"Completed",IF(F13&gt;=0.7,"On Track","At Risk")))</f>
      </c>
    </row>
    <row r="14" spans="6:7" x14ac:dyDescent="0.25">
      <c r="F14" s="9">
        <f>=IF(A14="","",AVERAGE(C14:E14))</f>
      </c>
      <c r="G14">
        <f>=IF(F14="","",IF(F14&gt;=1,"Completed",IF(F14&gt;=0.7,"On Track","At Risk")))</f>
      </c>
    </row>
    <row r="15" spans="6:7" x14ac:dyDescent="0.25">
      <c r="F15" s="9">
        <f>=IF(A15="","",AVERAGE(C15:E15))</f>
      </c>
      <c r="G15">
        <f>=IF(F15="","",IF(F15&gt;=1,"Completed",IF(F15&gt;=0.7,"On Track","At Risk")))</f>
      </c>
    </row>
    <row r="16" spans="6:7" x14ac:dyDescent="0.25">
      <c r="F16" s="9">
        <f>=IF(A16="","",AVERAGE(C16:E16))</f>
      </c>
      <c r="G16">
        <f>=IF(F16="","",IF(F16&gt;=1,"Completed",IF(F16&gt;=0.7,"On Track","At Risk")))</f>
      </c>
    </row>
    <row r="17" spans="6:7" x14ac:dyDescent="0.25">
      <c r="F17" s="9">
        <f>=IF(A17="","",AVERAGE(C17:E17))</f>
      </c>
      <c r="G17">
        <f>=IF(F17="","",IF(F17&gt;=1,"Completed",IF(F17&gt;=0.7,"On Track","At Risk")))</f>
      </c>
    </row>
    <row r="18" spans="6:7" x14ac:dyDescent="0.25">
      <c r="F18" s="9">
        <f>=IF(A18="","",AVERAGE(C18:E18))</f>
      </c>
      <c r="G18">
        <f>=IF(F18="","",IF(F18&gt;=1,"Completed",IF(F18&gt;=0.7,"On Track","At Risk")))</f>
      </c>
    </row>
    <row r="19" spans="6:7" x14ac:dyDescent="0.25">
      <c r="F19" s="9">
        <f>=IF(A19="","",AVERAGE(C19:E19))</f>
      </c>
      <c r="G19">
        <f>=IF(F19="","",IF(F19&gt;=1,"Completed",IF(F19&gt;=0.7,"On Track","At Risk")))</f>
      </c>
    </row>
    <row r="20" spans="6:7" x14ac:dyDescent="0.25">
      <c r="F20" s="9">
        <f>=IF(A20="","",AVERAGE(C20:E20))</f>
      </c>
      <c r="G20">
        <f>=IF(F20="","",IF(F20&gt;=1,"Completed",IF(F20&gt;=0.7,"On Track","At Risk")))</f>
      </c>
    </row>
    <row r="21" spans="6:7" x14ac:dyDescent="0.25">
      <c r="F21" s="9">
        <f>=IF(A21="","",AVERAGE(C21:E21))</f>
      </c>
      <c r="G21">
        <f>=IF(F21="","",IF(F21&gt;=1,"Completed",IF(F21&gt;=0.7,"On Track","At Risk")))</f>
      </c>
    </row>
    <row r="22" spans="6:7" x14ac:dyDescent="0.25">
      <c r="F22" s="9">
        <f>=IF(A22="","",AVERAGE(C22:E22))</f>
      </c>
      <c r="G22">
        <f>=IF(F22="","",IF(F22&gt;=1,"Completed",IF(F22&gt;=0.7,"On Track","At Risk")))</f>
      </c>
    </row>
    <row r="23" spans="6:7" x14ac:dyDescent="0.25">
      <c r="F23" s="9">
        <f>=IF(A23="","",AVERAGE(C23:E23))</f>
      </c>
      <c r="G23">
        <f>=IF(F23="","",IF(F23&gt;=1,"Completed",IF(F23&gt;=0.7,"On Track","At Risk")))</f>
      </c>
    </row>
    <row r="24" spans="6:7" x14ac:dyDescent="0.25">
      <c r="F24" s="9">
        <f>=IF(A24="","",AVERAGE(C24:E24))</f>
      </c>
      <c r="G24">
        <f>=IF(F24="","",IF(F24&gt;=1,"Completed",IF(F24&gt;=0.7,"On Track","At Risk")))</f>
      </c>
    </row>
    <row r="25" spans="6:7" x14ac:dyDescent="0.25">
      <c r="F25" s="9">
        <f>=IF(A25="","",AVERAGE(C25:E25))</f>
      </c>
      <c r="G25">
        <f>=IF(F25="","",IF(F25&gt;=1,"Completed",IF(F25&gt;=0.7,"On Track","At Risk")))</f>
      </c>
    </row>
    <row r="26" spans="6:7" x14ac:dyDescent="0.25">
      <c r="F26" s="9">
        <f>=IF(A26="","",AVERAGE(C26:E26))</f>
      </c>
      <c r="G26">
        <f>=IF(F26="","",IF(F26&gt;=1,"Completed",IF(F26&gt;=0.7,"On Track","At Risk")))</f>
      </c>
    </row>
    <row r="27" spans="6:7" x14ac:dyDescent="0.25">
      <c r="F27" s="9">
        <f>=IF(A27="","",AVERAGE(C27:E27))</f>
      </c>
      <c r="G27">
        <f>=IF(F27="","",IF(F27&gt;=1,"Completed",IF(F27&gt;=0.7,"On Track","At Risk")))</f>
      </c>
    </row>
    <row r="28" spans="6:7" x14ac:dyDescent="0.25">
      <c r="F28" s="9">
        <f>=IF(A28="","",AVERAGE(C28:E28))</f>
      </c>
      <c r="G28">
        <f>=IF(F28="","",IF(F28&gt;=1,"Completed",IF(F28&gt;=0.7,"On Track","At Risk")))</f>
      </c>
    </row>
    <row r="29" spans="6:7" x14ac:dyDescent="0.25">
      <c r="F29" s="9">
        <f>=IF(A29="","",AVERAGE(C29:E29))</f>
      </c>
      <c r="G29">
        <f>=IF(F29="","",IF(F29&gt;=1,"Completed",IF(F29&gt;=0.7,"On Track","At Risk")))</f>
      </c>
    </row>
    <row r="30" spans="6:7" x14ac:dyDescent="0.25">
      <c r="F30" s="9">
        <f>=IF(A30="","",AVERAGE(C30:E30))</f>
      </c>
      <c r="G30">
        <f>=IF(F30="","",IF(F30&gt;=1,"Completed",IF(F30&gt;=0.7,"On Track","At Risk")))</f>
      </c>
    </row>
    <row r="31" spans="6:7" x14ac:dyDescent="0.25">
      <c r="F31" s="9">
        <f>=IF(A31="","",AVERAGE(C31:E31))</f>
      </c>
      <c r="G31">
        <f>=IF(F31="","",IF(F31&gt;=1,"Completed",IF(F31&gt;=0.7,"On Track","At Risk")))</f>
      </c>
    </row>
    <row r="32" spans="6:7" x14ac:dyDescent="0.25">
      <c r="F32" s="9">
        <f>=IF(A32="","",AVERAGE(C32:E32))</f>
      </c>
      <c r="G32">
        <f>=IF(F32="","",IF(F32&gt;=1,"Completed",IF(F32&gt;=0.7,"On Track","At Risk")))</f>
      </c>
    </row>
    <row r="33" spans="6:7" x14ac:dyDescent="0.25">
      <c r="F33" s="9">
        <f>=IF(A33="","",AVERAGE(C33:E33))</f>
      </c>
      <c r="G33">
        <f>=IF(F33="","",IF(F33&gt;=1,"Completed",IF(F33&gt;=0.7,"On Track","At Risk")))</f>
      </c>
    </row>
    <row r="34" spans="6:7" x14ac:dyDescent="0.25">
      <c r="F34" s="9">
        <f>=IF(A34="","",AVERAGE(C34:E34))</f>
      </c>
      <c r="G34">
        <f>=IF(F34="","",IF(F34&gt;=1,"Completed",IF(F34&gt;=0.7,"On Track","At Risk")))</f>
      </c>
    </row>
    <row r="35" spans="6:7" x14ac:dyDescent="0.25">
      <c r="F35" s="9">
        <f>=IF(A35="","",AVERAGE(C35:E35))</f>
      </c>
      <c r="G35">
        <f>=IF(F35="","",IF(F35&gt;=1,"Completed",IF(F35&gt;=0.7,"On Track","At Risk")))</f>
      </c>
    </row>
    <row r="36" spans="6:7" x14ac:dyDescent="0.25">
      <c r="F36" s="9">
        <f>=IF(A36="","",AVERAGE(C36:E36))</f>
      </c>
      <c r="G36">
        <f>=IF(F36="","",IF(F36&gt;=1,"Completed",IF(F36&gt;=0.7,"On Track","At Risk")))</f>
      </c>
    </row>
    <row r="37" spans="6:7" x14ac:dyDescent="0.25">
      <c r="F37" s="9">
        <f>=IF(A37="","",AVERAGE(C37:E37))</f>
      </c>
      <c r="G37">
        <f>=IF(F37="","",IF(F37&gt;=1,"Completed",IF(F37&gt;=0.7,"On Track","At Risk")))</f>
      </c>
    </row>
    <row r="38" spans="6:7" x14ac:dyDescent="0.25">
      <c r="F38" s="9">
        <f>=IF(A38="","",AVERAGE(C38:E38))</f>
      </c>
      <c r="G38">
        <f>=IF(F38="","",IF(F38&gt;=1,"Completed",IF(F38&gt;=0.7,"On Track","At Risk")))</f>
      </c>
    </row>
    <row r="39" spans="6:7" x14ac:dyDescent="0.25">
      <c r="F39" s="9">
        <f>=IF(A39="","",AVERAGE(C39:E39))</f>
      </c>
      <c r="G39">
        <f>=IF(F39="","",IF(F39&gt;=1,"Completed",IF(F39&gt;=0.7,"On Track","At Risk")))</f>
      </c>
    </row>
    <row r="40" spans="6:7" x14ac:dyDescent="0.25">
      <c r="F40" s="9">
        <f>=IF(A40="","",AVERAGE(C40:E40))</f>
      </c>
      <c r="G40">
        <f>=IF(F40="","",IF(F40&gt;=1,"Completed",IF(F40&gt;=0.7,"On Track","At Risk")))</f>
      </c>
    </row>
    <row r="41" spans="6:7" x14ac:dyDescent="0.25">
      <c r="F41" s="9">
        <f>=IF(A41="","",AVERAGE(C41:E41))</f>
      </c>
      <c r="G41">
        <f>=IF(F41="","",IF(F41&gt;=1,"Completed",IF(F41&gt;=0.7,"On Track","At Risk")))</f>
      </c>
    </row>
    <row r="42" spans="6:7" x14ac:dyDescent="0.25">
      <c r="F42" s="9">
        <f>=IF(A42="","",AVERAGE(C42:E42))</f>
      </c>
      <c r="G42">
        <f>=IF(F42="","",IF(F42&gt;=1,"Completed",IF(F42&gt;=0.7,"On Track","At Risk")))</f>
      </c>
    </row>
    <row r="43" spans="6:7" x14ac:dyDescent="0.25">
      <c r="F43" s="9">
        <f>=IF(A43="","",AVERAGE(C43:E43))</f>
      </c>
      <c r="G43">
        <f>=IF(F43="","",IF(F43&gt;=1,"Completed",IF(F43&gt;=0.7,"On Track","At Risk")))</f>
      </c>
    </row>
    <row r="44" spans="6:7" x14ac:dyDescent="0.25">
      <c r="F44" s="9">
        <f>=IF(A44="","",AVERAGE(C44:E44))</f>
      </c>
      <c r="G44">
        <f>=IF(F44="","",IF(F44&gt;=1,"Completed",IF(F44&gt;=0.7,"On Track","At Risk")))</f>
      </c>
    </row>
    <row r="45" spans="6:7" x14ac:dyDescent="0.25">
      <c r="F45" s="9">
        <f>=IF(A45="","",AVERAGE(C45:E45))</f>
      </c>
      <c r="G45">
        <f>=IF(F45="","",IF(F45&gt;=1,"Completed",IF(F45&gt;=0.7,"On Track","At Risk")))</f>
      </c>
    </row>
    <row r="46" spans="6:7" x14ac:dyDescent="0.25">
      <c r="F46" s="9">
        <f>=IF(A46="","",AVERAGE(C46:E46))</f>
      </c>
      <c r="G46">
        <f>=IF(F46="","",IF(F46&gt;=1,"Completed",IF(F46&gt;=0.7,"On Track","At Risk")))</f>
      </c>
    </row>
    <row r="47" spans="6:7" x14ac:dyDescent="0.25">
      <c r="F47" s="9">
        <f>=IF(A47="","",AVERAGE(C47:E47))</f>
      </c>
      <c r="G47">
        <f>=IF(F47="","",IF(F47&gt;=1,"Completed",IF(F47&gt;=0.7,"On Track","At Risk")))</f>
      </c>
    </row>
    <row r="48" spans="6:7" x14ac:dyDescent="0.25">
      <c r="F48" s="9">
        <f>=IF(A48="","",AVERAGE(C48:E48))</f>
      </c>
      <c r="G48">
        <f>=IF(F48="","",IF(F48&gt;=1,"Completed",IF(F48&gt;=0.7,"On Track","At Risk")))</f>
      </c>
    </row>
    <row r="49" spans="6:7" x14ac:dyDescent="0.25">
      <c r="F49" s="9">
        <f>=IF(A49="","",AVERAGE(C49:E49))</f>
      </c>
      <c r="G49">
        <f>=IF(F49="","",IF(F49&gt;=1,"Completed",IF(F49&gt;=0.7,"On Track","At Risk")))</f>
      </c>
    </row>
    <row r="50" spans="6:7" x14ac:dyDescent="0.25">
      <c r="F50" s="9">
        <f>=IF(A50="","",AVERAGE(C50:E50))</f>
      </c>
      <c r="G50">
        <f>=IF(F50="","",IF(F50&gt;=1,"Completed",IF(F50&gt;=0.7,"On Track","At Risk")))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5" width="16" customWidth="1"/>
    <col min="6" max="6" width="18" customWidth="1"/>
  </cols>
  <sheetData>
    <row r="1" spans="1:2" x14ac:dyDescent="0.25">
      <c r="A1" s="2" t="s">
        <v>56</v>
      </c>
      <c r="B1" s="2">
        <f>='HABIT TRACKER'!$B$1</f>
      </c>
    </row>
    <row r="2" spans="1:2" x14ac:dyDescent="0.25">
      <c r="A2" s="2" t="s">
        <v>57</v>
      </c>
      <c r="B2" s="2">
        <f>='HABIT TRACKER'!$B$2</f>
      </c>
    </row>
    <row r="4" spans="1:5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</row>
    <row r="5" spans="1:5" x14ac:dyDescent="0.25">
      <c r="A5" s="10">
        <f>=$B$1</f>
      </c>
      <c r="B5" s="9">
        <f>=IF(COUNTIF('HABIT TRACKER'!B22:F22,"&lt;&gt;")=0,"",AVERAGE('HABIT TRACKER'!B22:F22))</f>
      </c>
      <c r="C5">
        <f>=COUNTIF('TASK &amp; WORK TRACKER'!$E$2:$E$200,$A5)</f>
      </c>
      <c r="D5">
        <f>=COUNTIF('TASK &amp; WORK TRACKER'!$I$2:$I$200,$A5)</f>
      </c>
      <c r="E5">
        <f>=SUMIF('TIME LOG'!$A:$A,"&gt;="&amp;$A5,'TIME LOG'!$C:$C)-SUMIF('TIME LOG'!$A:$A,"&gt;="&amp;($A5+5),'TIME LOG'!$C:$C)</f>
      </c>
    </row>
    <row r="6" spans="1:5" x14ac:dyDescent="0.25">
      <c r="A6" s="10">
        <f>=A5+7</f>
      </c>
      <c r="B6" s="9">
        <f>=IF(COUNTIF('HABIT TRACKER'!G22:K22,"&lt;&gt;")=0,"",AVERAGE('HABIT TRACKER'!G22:K22))</f>
      </c>
      <c r="C6">
        <f>=COUNTIF('TASK &amp; WORK TRACKER'!$E$2:$E$200,$A6)</f>
      </c>
      <c r="D6">
        <f>=COUNTIF('TASK &amp; WORK TRACKER'!$I$2:$I$200,$A6)</f>
      </c>
      <c r="E6">
        <f>=SUMIF('TIME LOG'!$A:$A,"&gt;="&amp;$A6,'TIME LOG'!$C:$C)-SUMIF('TIME LOG'!$A:$A,"&gt;="&amp;($A6+5),'TIME LOG'!$C:$C)</f>
      </c>
    </row>
    <row r="7" spans="1:5" x14ac:dyDescent="0.25">
      <c r="A7" s="10">
        <f>=A6+7</f>
      </c>
      <c r="B7" s="9">
        <f>=IF(COUNTIF('HABIT TRACKER'!L22:P22,"&lt;&gt;")=0,"",AVERAGE('HABIT TRACKER'!L22:P22))</f>
      </c>
      <c r="C7">
        <f>=COUNTIF('TASK &amp; WORK TRACKER'!$E$2:$E$200,$A7)</f>
      </c>
      <c r="D7">
        <f>=COUNTIF('TASK &amp; WORK TRACKER'!$I$2:$I$200,$A7)</f>
      </c>
      <c r="E7">
        <f>=SUMIF('TIME LOG'!$A:$A,"&gt;="&amp;$A7,'TIME LOG'!$C:$C)-SUMIF('TIME LOG'!$A:$A,"&gt;="&amp;($A7+5),'TIME LOG'!$C:$C)</f>
      </c>
    </row>
    <row r="8" spans="1:5" x14ac:dyDescent="0.25">
      <c r="A8" s="10">
        <f>=A7+7</f>
      </c>
      <c r="B8" s="9">
        <f>=IF(COUNTIF('HABIT TRACKER'!Q22:U22,"&lt;&gt;")=0,"",AVERAGE('HABIT TRACKER'!Q22:U22))</f>
      </c>
      <c r="C8">
        <f>=COUNTIF('TASK &amp; WORK TRACKER'!$E$2:$E$200,$A8)</f>
      </c>
      <c r="D8">
        <f>=COUNTIF('TASK &amp; WORK TRACKER'!$I$2:$I$200,$A8)</f>
      </c>
      <c r="E8">
        <f>=SUMIF('TIME LOG'!$A:$A,"&gt;="&amp;$A8,'TIME LOG'!$C:$C)-SUMIF('TIME LOG'!$A:$A,"&gt;="&amp;($A8+5),'TIME LOG'!$C:$C)</f>
      </c>
    </row>
    <row r="9" spans="1:5" x14ac:dyDescent="0.25">
      <c r="A9" s="10">
        <f>=A8+7</f>
      </c>
      <c r="B9" s="9">
        <f>=IF(COUNTIF('HABIT TRACKER'!V22:Z22,"&lt;&gt;")=0,"",AVERAGE('HABIT TRACKER'!V22:Z22))</f>
      </c>
      <c r="C9">
        <f>=COUNTIF('TASK &amp; WORK TRACKER'!$E$2:$E$200,$A9)</f>
      </c>
      <c r="D9">
        <f>=COUNTIF('TASK &amp; WORK TRACKER'!$I$2:$I$200,$A9)</f>
      </c>
      <c r="E9">
        <f>=SUMIF('TIME LOG'!$A:$A,"&gt;="&amp;$A9,'TIME LOG'!$C:$C)-SUMIF('TIME LOG'!$A:$A,"&gt;="&amp;($A9+5),'TIME LOG'!$C:$C)</f>
      </c>
    </row>
    <row r="10" spans="1:5" x14ac:dyDescent="0.25">
      <c r="A10" s="10">
        <f>=A9+7</f>
      </c>
      <c r="B10" s="9">
        <f>=IF(COUNTIF('HABIT TRACKER'!AA22:AE22,"&lt;&gt;")=0,"",AVERAGE('HABIT TRACKER'!AA22:AE22))</f>
      </c>
      <c r="C10">
        <f>=COUNTIF('TASK &amp; WORK TRACKER'!$E$2:$E$200,$A10)</f>
      </c>
      <c r="D10">
        <f>=COUNTIF('TASK &amp; WORK TRACKER'!$I$2:$I$200,$A10)</f>
      </c>
      <c r="E10">
        <f>=SUMIF('TIME LOG'!$A:$A,"&gt;="&amp;$A10,'TIME LOG'!$C:$C)-SUMIF('TIME LOG'!$A:$A,"&gt;="&amp;($A10+5),'TIME LOG'!$C:$C)</f>
      </c>
    </row>
    <row r="12" spans="1:2" x14ac:dyDescent="0.25">
      <c r="A12" s="2" t="s">
        <v>63</v>
      </c>
      <c r="B12" s="8">
        <f>=IF(COUNTIF('HABIT TRACKER'!$B$22:$AE$22,"&lt;&gt;")=0,"",AVERAGE('HABIT TRACKER'!$B$22:$AE$22))</f>
      </c>
    </row>
    <row r="13" spans="1:2" x14ac:dyDescent="0.25">
      <c r="A13" s="2" t="s">
        <v>64</v>
      </c>
      <c r="B13" s="2">
        <f>=SUM($C$5:$C$10)</f>
      </c>
    </row>
    <row r="14" spans="1:2" x14ac:dyDescent="0.25">
      <c r="A14" s="2" t="s">
        <v>65</v>
      </c>
      <c r="B14" s="2">
        <f>=SUM($D$5:$D$10)</f>
      </c>
    </row>
    <row r="15" spans="1:2" x14ac:dyDescent="0.25">
      <c r="A15" s="2" t="s">
        <v>66</v>
      </c>
      <c r="B15" s="2">
        <f>=SUM($E$5:$E$10)</f>
      </c>
    </row>
    <row r="16" spans="1:2" x14ac:dyDescent="0.25">
      <c r="A16" s="2" t="s">
        <v>67</v>
      </c>
      <c r="B16" s="8">
        <f>=IF(COUNTIF('GOALS - OKRs'!$A$2:$A$50,"&lt;&gt;")=0,"",AVERAGE('GOALS - OKRs'!$F$2:$F$50))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6" customWidth="1"/>
  </cols>
  <sheetData>
    <row r="1" spans="1:2" x14ac:dyDescent="0.25">
      <c r="A1" s="2" t="s">
        <v>68</v>
      </c>
      <c r="B1" s="2" t="s">
        <v>69</v>
      </c>
    </row>
    <row r="2" spans="1:2" x14ac:dyDescent="0.25">
      <c r="A2" t="s">
        <v>70</v>
      </c>
      <c r="B2">
        <f>='WEEKLY &amp; MONTHLY DASHBOARD'!$B$12*100</f>
      </c>
    </row>
    <row r="3" spans="1:2" x14ac:dyDescent="0.25">
      <c r="A3" t="s">
        <v>71</v>
      </c>
      <c r="B3">
        <f>='TASK &amp; WORK TRACKER'!$J$2*100</f>
      </c>
    </row>
    <row r="4" spans="1:2" x14ac:dyDescent="0.25">
      <c r="A4" t="s">
        <v>72</v>
      </c>
      <c r="B4">
        <f>='TASK &amp; WORK TRACKER'!$K$2*100</f>
      </c>
    </row>
    <row r="5" spans="1:2" x14ac:dyDescent="0.25">
      <c r="A5" t="s">
        <v>73</v>
      </c>
      <c r="B5">
        <f>='WEEKLY &amp; MONTHLY DASHBOARD'!$B$16*100</f>
      </c>
    </row>
    <row r="7" spans="1:2" x14ac:dyDescent="0.25">
      <c r="A7" t="s">
        <v>74</v>
      </c>
      <c r="B7">
        <f>=IF(B2="","",IF(0.4*B2+0.3*B3+0.2*B4+0.1*B5&gt;100,100,0.4*B2+0.3*B3+0.2*B4+0.1*B5))</f>
      </c>
    </row>
    <row r="9" spans="1:1" x14ac:dyDescent="0.25">
      <c r="A9" t="s">
        <v>75</v>
      </c>
    </row>
    <row r="10" spans="1:1" x14ac:dyDescent="0.25">
      <c r="A10" s="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HABIT TRACKER</vt:lpstr>
      <vt:lpstr>TASK &amp; WORK TRACKER</vt:lpstr>
      <vt:lpstr>TIME LOG</vt:lpstr>
      <vt:lpstr>GOALS - OKRs</vt:lpstr>
      <vt:lpstr>WEEKLY &amp; MONTHLY DASHBOARD</vt:lpstr>
      <vt:lpstr>PRODUCTIVITY SCORE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Beginner Productivity System Generator</dc:creator>
  <dc:title/>
  <dc:subject/>
  <dc:description/>
  <cp:keywords/>
  <cp:category/>
  <cp:lastModifiedBy>Unknown</cp:lastModifiedBy>
  <dcterms:created xsi:type="dcterms:W3CDTF">2026-01-08T19:24:10Z</dcterms:created>
  <dcterms:modified xsi:type="dcterms:W3CDTF">2026-01-08T19:24:10Z</dcterms:modified>
</cp:coreProperties>
</file>